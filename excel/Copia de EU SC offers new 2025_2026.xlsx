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.barutell\Downloads\"/>
    </mc:Choice>
  </mc:AlternateContent>
  <xr:revisionPtr revIDLastSave="0" documentId="8_{11A78FE9-1B92-4850-A078-608DD560D597}" xr6:coauthVersionLast="36" xr6:coauthVersionMax="36" xr10:uidLastSave="{00000000-0000-0000-0000-000000000000}"/>
  <bookViews>
    <workbookView xWindow="-120" yWindow="-120" windowWidth="28920" windowHeight="13380" xr2:uid="{61C288A1-8F08-4FE2-BBB1-9620DF8F9990}"/>
  </bookViews>
  <sheets>
    <sheet name="offers Schindler" sheetId="1" r:id="rId1"/>
    <sheet name="template" sheetId="4" r:id="rId2"/>
    <sheet name="Metro Santiago Bernabéu" sheetId="2" r:id="rId3"/>
    <sheet name="Metro Ventas Project - Madrid " sheetId="3" r:id="rId4"/>
  </sheets>
  <definedNames>
    <definedName name="_xlnm._FilterDatabase" localSheetId="0" hidden="1">'offers Schindler'!$A$1:$AB$521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84" i="1" l="1"/>
  <c r="T483" i="1"/>
  <c r="T469" i="1" l="1"/>
  <c r="T455" i="1" l="1"/>
  <c r="T446" i="1" l="1"/>
  <c r="T454" i="1" l="1"/>
  <c r="T452" i="1"/>
  <c r="X449" i="1" l="1"/>
  <c r="T449" i="1" l="1"/>
  <c r="T417" i="1" l="1"/>
  <c r="T418" i="1"/>
  <c r="T428" i="1" l="1"/>
  <c r="T420" i="1" l="1"/>
  <c r="T419" i="1"/>
  <c r="T422" i="1"/>
  <c r="T425" i="1" l="1"/>
  <c r="T427" i="1"/>
  <c r="T423" i="1" l="1"/>
  <c r="T415" i="1" l="1"/>
  <c r="T414" i="1"/>
  <c r="T413" i="1"/>
  <c r="T411" i="1" l="1"/>
  <c r="T408" i="1" l="1"/>
  <c r="T409" i="1"/>
  <c r="T410" i="1"/>
  <c r="T391" i="1" l="1"/>
  <c r="T390" i="1"/>
  <c r="T393" i="1" l="1"/>
  <c r="T394" i="1"/>
  <c r="X399" i="1" l="1"/>
  <c r="T399" i="1"/>
  <c r="X396" i="1"/>
  <c r="T396" i="1"/>
  <c r="Y396" i="1" s="1"/>
  <c r="T315" i="1" l="1"/>
  <c r="T321" i="1" l="1"/>
  <c r="T314" i="1"/>
  <c r="T293" i="1"/>
  <c r="T297" i="1"/>
  <c r="T296" i="1"/>
  <c r="T295" i="1"/>
  <c r="T294" i="1"/>
  <c r="T291" i="1"/>
  <c r="T290" i="1"/>
  <c r="T289" i="1"/>
  <c r="T287" i="1"/>
  <c r="T275" i="1" l="1"/>
  <c r="T269" i="1"/>
  <c r="T273" i="1"/>
  <c r="T272" i="1"/>
  <c r="T270" i="1" l="1"/>
  <c r="T268" i="1" l="1"/>
  <c r="T267" i="1"/>
  <c r="X265" i="1" l="1"/>
  <c r="T260" i="1" l="1"/>
  <c r="T255" i="1"/>
  <c r="T252" i="1"/>
  <c r="C520" i="1"/>
  <c r="L534" i="1" l="1"/>
  <c r="B520" i="1"/>
  <c r="Y21" i="1"/>
  <c r="Y20" i="1"/>
  <c r="Y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Hubinec</author>
  </authors>
  <commentList>
    <comment ref="T492" authorId="0" shapeId="0" xr:uid="{7EE7DA5E-934A-4624-9B95-0CB8BDFB527F}">
      <text>
        <r>
          <rPr>
            <b/>
            <sz val="9"/>
            <color indexed="81"/>
            <rFont val="Tahoma"/>
            <charset val="1"/>
          </rPr>
          <t>Roman Hubinec:</t>
        </r>
        <r>
          <rPr>
            <sz val="9"/>
            <color indexed="81"/>
            <rFont val="Tahoma"/>
            <charset val="1"/>
          </rPr>
          <t xml:space="preserve">
cena za oba bloky C + E</t>
        </r>
      </text>
    </comment>
  </commentList>
</comments>
</file>

<file path=xl/sharedStrings.xml><?xml version="1.0" encoding="utf-8"?>
<sst xmlns="http://schemas.openxmlformats.org/spreadsheetml/2006/main" count="4904" uniqueCount="2219">
  <si>
    <t>Who</t>
  </si>
  <si>
    <t>COMMISSION NUMBER = offer number</t>
  </si>
  <si>
    <t xml:space="preserve">ORIGINAL PO </t>
  </si>
  <si>
    <t>req.part-material</t>
  </si>
  <si>
    <t>INCOTERMS</t>
  </si>
  <si>
    <t>OUR MAT. No. / name</t>
  </si>
  <si>
    <t>ks/pcs</t>
  </si>
  <si>
    <t>KONTAKT</t>
  </si>
  <si>
    <t>Adam K</t>
  </si>
  <si>
    <t>SCS-U00324536-VS00</t>
  </si>
  <si>
    <t>SCH0011752136</t>
  </si>
  <si>
    <t>7394</t>
  </si>
  <si>
    <t>Nora V</t>
  </si>
  <si>
    <t>SCS-U00287359-VS03</t>
  </si>
  <si>
    <t>MEX0020040684</t>
  </si>
  <si>
    <t>-</t>
  </si>
  <si>
    <t>SCS-U00324115-VS00</t>
  </si>
  <si>
    <t>no</t>
  </si>
  <si>
    <t>SO-01-2023-00011057 - 101 WEST HEATH ROAD</t>
  </si>
  <si>
    <t>UKC0011716189</t>
  </si>
  <si>
    <t xml:space="preserve">Esther Arrieta </t>
  </si>
  <si>
    <t>SCS-X00336948-VS00</t>
  </si>
  <si>
    <t>DEU0011747972</t>
  </si>
  <si>
    <t xml:space="preserve">56225824 -2 UN - O-A1 L 512 106 3_T75_H50 </t>
  </si>
  <si>
    <t>S0PF56225824 - O-A1 L 512 106 3_T75_H50 - 2 KS</t>
  </si>
  <si>
    <t>14,83 EUR</t>
  </si>
  <si>
    <t>SCS Offers &lt;scs_offers@schindler.com&gt;</t>
  </si>
  <si>
    <t>56303684 - guiding shoes for counterqweight</t>
  </si>
  <si>
    <t>S0PF56303684-Pair fishplates guide T75-3/B w screws</t>
  </si>
  <si>
    <t>7,75 EUR</t>
  </si>
  <si>
    <t>REJECTED BY CUSTOMER</t>
  </si>
  <si>
    <t>51973767 - 1x pit ladder as originally delivered</t>
  </si>
  <si>
    <t>S0PF51973767 - RUNG LADDER L =2400 KIT</t>
  </si>
  <si>
    <t>37,34 EUR</t>
  </si>
  <si>
    <t>56225650  - carrier console / support for motor PMB 125 (POS 10 of attached PO)</t>
  </si>
  <si>
    <t>S0PF56225650 - MS MRL 1002 106/160 FMB130A/B 2 T75 H50</t>
  </si>
  <si>
    <t>71,89 EUR</t>
  </si>
  <si>
    <t>Gian Carlo Pallavicini</t>
  </si>
  <si>
    <t>Savera: 92151649059</t>
  </si>
  <si>
    <t>WG: 11609552</t>
  </si>
  <si>
    <t>by email</t>
  </si>
  <si>
    <t>1 KS - box sent 15/1/2024</t>
  </si>
  <si>
    <t xml:space="preserve">921516419059 nakupovaný díl - spínač BERNSTEIN SWITCH </t>
  </si>
  <si>
    <t>7,57 EUR</t>
  </si>
  <si>
    <t>DHL - TN 4507848354; sent 17/1/2024</t>
  </si>
  <si>
    <t>sent</t>
  </si>
  <si>
    <t>gian-carlo.pallavicini@schindler.com</t>
  </si>
  <si>
    <t>SCS-U00337530-VS00 / SCS-X00337530-VS00 in b2b order</t>
  </si>
  <si>
    <t xml:space="preserve"> TLV0011757982</t>
  </si>
  <si>
    <t>4540762292 Car guide rail: T75-3/B, CW guide rail: H50_RDD 19_3_2024</t>
  </si>
  <si>
    <t>S0PF56225843 - O-A2 L 1002 106 4_T75_H50.</t>
  </si>
  <si>
    <t>20,58 EUR</t>
  </si>
  <si>
    <t>offer sent to ENG dep. 16/1/2024</t>
  </si>
  <si>
    <t xml:space="preserve">B2B PORTAL / email sent to Kevin / Petr Š </t>
  </si>
  <si>
    <t>nora.vassova@schindler.com</t>
  </si>
  <si>
    <t>SCS-X00335099-VS00 / 3134, FERDINAND-LUTZ-STRAßE 8</t>
  </si>
  <si>
    <t>WII0020112337</t>
  </si>
  <si>
    <t>4540464762 ORDER - B2B PORTAL - 18_1_2024_RDD 13.2.2024_1 BOX Packed,prepared for sending 16/2/2024</t>
  </si>
  <si>
    <t>FCA</t>
  </si>
  <si>
    <t xml:space="preserve">S0PF56225824 - O-A1 L 512 106 3_T75_H50 </t>
  </si>
  <si>
    <t>B2B PORTAL_DIRECT DELIVERY TO WIEN</t>
  </si>
  <si>
    <t>Tomas Bittera</t>
  </si>
  <si>
    <t>SCS-U00343114-VS00</t>
  </si>
  <si>
    <t>TLV513549</t>
  </si>
  <si>
    <t>WAITING FOR SET UP PROCESS RAMIRO</t>
  </si>
  <si>
    <t>56303034 - 3 KS</t>
  </si>
  <si>
    <t>tomas.bittera@schindler.com</t>
  </si>
  <si>
    <t>SCS-U00343117-VS00</t>
  </si>
  <si>
    <t>OLD MATERIAL FROM EMESA</t>
  </si>
  <si>
    <t xml:space="preserve">56303034 - </t>
  </si>
  <si>
    <t>SCS-U00343782-VS00 / SCS-U00347363-VS00</t>
  </si>
  <si>
    <t>DEU0011590070 / 11590070</t>
  </si>
  <si>
    <t xml:space="preserve">920357659133 Wooden module 15 (15mm hight)  – 4 EUR / 1 PC </t>
  </si>
  <si>
    <t>EXW</t>
  </si>
  <si>
    <t>59000530 sent 7.5.2024 - DN80018615, INVOICED 7.5.2024</t>
  </si>
  <si>
    <t>email sent to Kevin / Petr Š 19/2/2024</t>
  </si>
  <si>
    <t>920357659132 Wooden module 10 (10mm hight) – 3 EUR / 1 PC + 38 EUR admin fee for shipment</t>
  </si>
  <si>
    <t>2x S0PF56226181 - AUTOWOODEN BUF PLINTH HSS1 572 T75, which is up to 195 mm higher. – 18,83 EUR/ 1 PC + 38 EUR admin fee</t>
  </si>
  <si>
    <t>SCS-U00347047-VS00</t>
  </si>
  <si>
    <t>WII0011772090</t>
  </si>
  <si>
    <t xml:space="preserve">57850744    	2 original emergency guides </t>
  </si>
  <si>
    <t>Nóra Vassová</t>
  </si>
  <si>
    <t>SCS-U00353018-VS00 / SCS-X00353018-VS00</t>
  </si>
  <si>
    <t>REB0011638018</t>
  </si>
  <si>
    <t>50810723 - HLP XCW93 BGS1032_T75_T75H75 BG1002 - 4 ks</t>
  </si>
  <si>
    <t xml:space="preserve"> &lt;nora.vassova@schindler.com&gt;</t>
  </si>
  <si>
    <t>SCS-U00353014-VS00 / SCS-X00353014-VS00</t>
  </si>
  <si>
    <t>REB0011633376</t>
  </si>
  <si>
    <t>SCS-X00353020-VS00</t>
  </si>
  <si>
    <t>REB0011660459</t>
  </si>
  <si>
    <t>SCS-U00355678-VS00</t>
  </si>
  <si>
    <t>DEU0011700565</t>
  </si>
  <si>
    <t>24 pc. new omega wall brackets</t>
  </si>
  <si>
    <t>explanation of parts - email 24/4/2024 waiting for reply</t>
  </si>
  <si>
    <t>2 pc. new wall bracket for l-brackets</t>
  </si>
  <si>
    <t>SCS-U00355845-VS00</t>
  </si>
  <si>
    <t>WII0011758589</t>
  </si>
  <si>
    <t xml:space="preserve">1 pc - 56225801 - O-A1 L 1002 106 3 </t>
  </si>
  <si>
    <t xml:space="preserve">Jesús Álvarez Zabala </t>
  </si>
  <si>
    <t>SCS-X00362038-VS00</t>
  </si>
  <si>
    <t>SCH0011754726</t>
  </si>
  <si>
    <t>1 X anti-skipping belt counterweight for 4 belts (GG41- 1002-106- B) / 1xS0NM57812705 / S0PF57622624</t>
  </si>
  <si>
    <t>sent to Petr Šiška for part number</t>
  </si>
  <si>
    <t>   148,52</t>
  </si>
  <si>
    <t>SCS-X00362330-VS00</t>
  </si>
  <si>
    <t>ASZ0011681900</t>
  </si>
  <si>
    <t>54402828/ Schachtgruben-Set 3100 3300 5300</t>
  </si>
  <si>
    <t>sent to Petr Šiška for part number info 30.5.2024</t>
  </si>
  <si>
    <t>SCS-X00363483-VS00</t>
  </si>
  <si>
    <t>SCH0011740618</t>
  </si>
  <si>
    <t>4542110822 - 337 EUR</t>
  </si>
  <si>
    <t>57807017 - 1 ks - soporte GBP  T75/T89 ZZ2</t>
  </si>
  <si>
    <t>SCS-X00363815-VS00 rejected 19/6/2024 customer rejected</t>
  </si>
  <si>
    <t>SCH0020115116</t>
  </si>
  <si>
    <t>S0PF57642330 Z-CL4 1pc</t>
  </si>
  <si>
    <t>19/6/2024 - customer rejected and sent back</t>
  </si>
  <si>
    <t>new RDD 19/7/2024</t>
  </si>
  <si>
    <t>S0PF56225829 O-A2 L 1002 106 1_T75_H75/T75 1pc</t>
  </si>
  <si>
    <t>Estación Metro Santiago Bernabéu - SO-01-2024-00007398</t>
  </si>
  <si>
    <t>SO-01-2024-00007398</t>
  </si>
  <si>
    <t xml:space="preserve">59001034 - COS Fix Points+Extra cost for wet environment protection which means special polyester paint, outside ENSNJ05G RAL9005 gloss + previous Zinc Prime. </t>
  </si>
  <si>
    <t>sent to Kevin 26/6/2024</t>
  </si>
  <si>
    <t>esther.arrieta@schindler.com</t>
  </si>
  <si>
    <t>Estación Metro Santiago Bernabéu - SO-01-2024-00007510</t>
  </si>
  <si>
    <t>303449704-200 / SCS-X00265328-VS00</t>
  </si>
  <si>
    <t>51201477 - Brackets ES5.1/2</t>
  </si>
  <si>
    <t>Estación Metro Santiago Bernabéu - SO-01-2024-00007397</t>
  </si>
  <si>
    <t>Estación Metro Santiago Bernabéu - SO-01-2024-00007478</t>
  </si>
  <si>
    <t xml:space="preserve"> 303449704-200 / SO-01-2024-00007478</t>
  </si>
  <si>
    <t>59001033 - ES1 OR ES5?</t>
  </si>
  <si>
    <t>Estación Metro Santiago Bernabéu - SO-01-2024-00007477</t>
  </si>
  <si>
    <t xml:space="preserve"> 303449704-200 / SO-01-2024-00007477</t>
  </si>
  <si>
    <t>59001036 - COS Machine Support</t>
  </si>
  <si>
    <t>Estación Metro Santiago Bernabéu - SO-01-2024-00007445</t>
  </si>
  <si>
    <t>303449704-100 / SO-01-2024-00007445</t>
  </si>
  <si>
    <t xml:space="preserve">59001036 COS Machine Support - Machine support. - means special polyester paint, outside ENSNJ05G RAL9005 gloss + previous Zinc Prime. </t>
  </si>
  <si>
    <t>Estación Metro Santiago Bernabéu - SO-01-2024-00007467</t>
  </si>
  <si>
    <t>303449704-100 / SO-01-2024-00007467</t>
  </si>
  <si>
    <t xml:space="preserve">59001045 - Guide rail system MM GRS 513 - wet environment protection which means special polyester paint, outside ENSNJ05G RAL9005 gloss + previous Zinc Prime. </t>
  </si>
  <si>
    <t>Estación Metro Santiago Bernabéu - SO-01-2024-00007468</t>
  </si>
  <si>
    <t>303449704-200 / SO-01-2024-00007468</t>
  </si>
  <si>
    <t>SCS-X00367953-VS00</t>
  </si>
  <si>
    <t>FTO</t>
  </si>
  <si>
    <t>all box to send / DIRECT DELIVERY TO CH</t>
  </si>
  <si>
    <t>ORDER FROM 10.7.2024 - RDD 12.8.2024</t>
  </si>
  <si>
    <t>1638 EUR</t>
  </si>
  <si>
    <t>Estación Metro Santiago Bernabéu  -  SO-01-2024-00007447</t>
  </si>
  <si>
    <t xml:space="preserve"> 303449704-200 / SO-01-2024-00007447</t>
  </si>
  <si>
    <t>59001036-COS Machine Support</t>
  </si>
  <si>
    <t>extra cost without material - 1616,15 EUR</t>
  </si>
  <si>
    <t>Tomáš Bittera</t>
  </si>
  <si>
    <t>DEU0011748541</t>
  </si>
  <si>
    <t>SPEC_O_ U00370746</t>
  </si>
  <si>
    <t>59001036,59001034,59001035,59001030,59001042,59001045,59001046,59001033</t>
  </si>
  <si>
    <t>sent to Kevin 18/7/2024 // offer sent 13.8.2024</t>
  </si>
  <si>
    <t xml:space="preserve"> &lt;tomas.bittera@schindler.com&gt;</t>
  </si>
  <si>
    <t>DEU0011748545</t>
  </si>
  <si>
    <t>SPEC_O_U00367298</t>
  </si>
  <si>
    <t>SCS-U00371089-VS00 - price to update !!</t>
  </si>
  <si>
    <t>DES0020120872</t>
  </si>
  <si>
    <t>SPEC_O_U00371089</t>
  </si>
  <si>
    <t>24 pc Z-brackets Z-CL2 id number 57642326 - naše nové správné číslo je 56225755</t>
  </si>
  <si>
    <t>199,74 EUR</t>
  </si>
  <si>
    <t>OFFER SENT 6.8.2024</t>
  </si>
  <si>
    <t>Nora Vassova</t>
  </si>
  <si>
    <t>SCS-U00371971-VS00</t>
  </si>
  <si>
    <t xml:space="preserve">TLV0011690771 </t>
  </si>
  <si>
    <t>S0PF56225807</t>
  </si>
  <si>
    <t>2pcs of Omega Bracket (O-A1 L 850 106 2).</t>
  </si>
  <si>
    <t>72 EUR</t>
  </si>
  <si>
    <t>offer sent 28/8/2024</t>
  </si>
  <si>
    <t>SCS-X00373102-VS00</t>
  </si>
  <si>
    <t>Height plinth undern. CWT HSS2 167 mm + No. of Buffers for CW  ZPG     2</t>
  </si>
  <si>
    <t>RSP_1000_PDNO_HSS2_167_ZPG2_D0D2_400L4</t>
  </si>
  <si>
    <t>75 EUR</t>
  </si>
  <si>
    <t>SCS-X00374193-VS00</t>
  </si>
  <si>
    <t>DEU0011777480</t>
  </si>
  <si>
    <t>S0PF50809689-10x; S0PF56226115-1x S0PF56225856-7x; S0PFA6225979-2x - mat changed</t>
  </si>
  <si>
    <t xml:space="preserve">142 EUR </t>
  </si>
  <si>
    <t>offer sent 3.9.2024</t>
  </si>
  <si>
    <t>SCS-X00374194-VS00 - cancelled</t>
  </si>
  <si>
    <t xml:space="preserve">DEU0011777482 </t>
  </si>
  <si>
    <t>CANCELLED-CUSTOMER SIDE</t>
  </si>
  <si>
    <t>S0PF50809689-10x; S0PF56226115-1x S0PF56225856-7x; S0PFA6225979-2x</t>
  </si>
  <si>
    <t xml:space="preserve">María Esther Arrieta Salas </t>
  </si>
  <si>
    <t>SCH0011754120</t>
  </si>
  <si>
    <t>S0PF51971853 + S0PF51971853</t>
  </si>
  <si>
    <t>95 EUR</t>
  </si>
  <si>
    <t>María Esther Arrieta Salas</t>
  </si>
  <si>
    <t>SCS-X00374524-VS00</t>
  </si>
  <si>
    <t xml:space="preserve">UKC0011770721 </t>
  </si>
  <si>
    <t>2 x S0PFA6225973 O-B L 1002 106 2 CAR T75 CWT H75/T75</t>
  </si>
  <si>
    <t>O-B L 1002 106 2 CAR T75 CWT H75/T75</t>
  </si>
  <si>
    <t>117,20 EUR</t>
  </si>
  <si>
    <t>offer sent 27.8.2024</t>
  </si>
  <si>
    <t>SCS-X00376901-VS00</t>
  </si>
  <si>
    <t>SCH0011759593</t>
  </si>
  <si>
    <t>8x 56226297:  Lateral Fixation H50 LH / S0PF56226297	CTO. FIJACION LATERAL PANTALLA H50 LH</t>
  </si>
  <si>
    <t>8 pcs</t>
  </si>
  <si>
    <t>Martin Blažetič</t>
  </si>
  <si>
    <t>Request for offer for delta price / COS Brackets / 1004247 / D10</t>
  </si>
  <si>
    <t>SPEC_O_DELTA_1004247</t>
  </si>
  <si>
    <t>1x S0PFX1972896; 2x S0PFX1973375; 3x S0PFX1973163</t>
  </si>
  <si>
    <t>offer sent 2.9.2024</t>
  </si>
  <si>
    <t xml:space="preserve"> SCS-X00376371-VS00</t>
  </si>
  <si>
    <t xml:space="preserve"> 640419157 FM  - ASZ001176502</t>
  </si>
  <si>
    <t>5 pcs</t>
  </si>
  <si>
    <t>151 EUR</t>
  </si>
  <si>
    <t>SCS-X00376105-VS00</t>
  </si>
  <si>
    <t xml:space="preserve"> 640418823 FM - ASZ0011751315</t>
  </si>
  <si>
    <t>1 x  56226268 -  RS BGS1032 H50 PDNO LH HSS2 144 ZPG1 = a) S0PF49110118 + S0PF49110154
or b) S0PF49110119 + S0PF49110154</t>
  </si>
  <si>
    <t>S0PF56226268 - old material (obsolete)</t>
  </si>
  <si>
    <t>1 pc</t>
  </si>
  <si>
    <t xml:space="preserve">     27,60  </t>
  </si>
  <si>
    <t>75,50 EUR</t>
  </si>
  <si>
    <t>offer sent 5.9.2024</t>
  </si>
  <si>
    <t>SCS-X00377083-VS00</t>
  </si>
  <si>
    <t xml:space="preserve">DEU0011766617 </t>
  </si>
  <si>
    <t>2 x  S0PF56225732 L Bracket-A L 106 1 1</t>
  </si>
  <si>
    <t>2 pcs</t>
  </si>
  <si>
    <t>67,24 EUR</t>
  </si>
  <si>
    <t>offer sent 9.9.2024</t>
  </si>
  <si>
    <t xml:space="preserve">Teodora Nastase </t>
  </si>
  <si>
    <t>PRIMCOZ ESTIVAL RESIDENCE 2 - ADDITIONAL STOP TOP - BUC0011762421</t>
  </si>
  <si>
    <t>BUC0011762421</t>
  </si>
  <si>
    <t>Brackets: 2 x Z-AL6 and 2  x O-A1 L 708/723 106 1. = S0PF57632063-Z-AL6 (6,62EUR/pc) + S0PF56225813-O-A1 L 708/732 106 1_T75_H50 (11,38EUR/1pc)</t>
  </si>
  <si>
    <t>6,62 EUR / 1 PC +      11,38 EUR / 1 PC</t>
  </si>
  <si>
    <t>4 pcs</t>
  </si>
  <si>
    <t>84,30 EUR</t>
  </si>
  <si>
    <t>offer sent 12.9.2024</t>
  </si>
  <si>
    <t>SCS-X00379556-VS00</t>
  </si>
  <si>
    <t>4543226077 - 640423818 - MIL0020117310</t>
  </si>
  <si>
    <t>4543243504 </t>
  </si>
  <si>
    <t xml:space="preserve">1x 51975301 OKATT Ladder L=3150 ---- naše nové číslo S0PF51975303
</t>
  </si>
  <si>
    <t xml:space="preserve">240,45 EUR </t>
  </si>
  <si>
    <t>Dominik Spevar</t>
  </si>
  <si>
    <t>SCS-U00378561-VS00</t>
  </si>
  <si>
    <t xml:space="preserve"> OF-202400536 / BUC0011807446</t>
  </si>
  <si>
    <t>S0PF56225993   Slack STM Switch 2xPV30 cpl. 7,2 m + S0PF56225962   Slack detector 1S type B 2xSTM CPL. 7,2 m</t>
  </si>
  <si>
    <t>95,07 EUR</t>
  </si>
  <si>
    <t>Wojciech Myskiewicz</t>
  </si>
  <si>
    <t>PE1_200_CP0_2024_09_17   (INQ/MDC0024/24) Tension</t>
  </si>
  <si>
    <t>SPEC_O_DELTA_PE1_200_CP0</t>
  </si>
  <si>
    <t>dotaz - Kevin / Láďa na číslo materiálu 17.9.2024// úprava délky kabelu 8m!!!</t>
  </si>
  <si>
    <t>S0PF51201438-tension device arm mod.left overspeed/S0PF51201329-td 201 Buffer Impact Sup.Short EN81-20</t>
  </si>
  <si>
    <t>193,96 EUR</t>
  </si>
  <si>
    <t>offer sent 24.9.2024</t>
  </si>
  <si>
    <t>wojciech.myskiewicz@schindler.com</t>
  </si>
  <si>
    <t>SCS-X00379970-VS00</t>
  </si>
  <si>
    <t>640423979- 4543237628  - ASZ0011742667</t>
  </si>
  <si>
    <t>offer sent 16.9.2024</t>
  </si>
  <si>
    <t>97,75 eur</t>
  </si>
  <si>
    <t xml:space="preserve">Ádám Kulcsár </t>
  </si>
  <si>
    <t>SCS-U00380826-VS00</t>
  </si>
  <si>
    <t>BUC0011770078</t>
  </si>
  <si>
    <t>the ladder mounting (kit rung ladder) - dotaz na číslo materiálu sent 23.9.2024 to Sch</t>
  </si>
  <si>
    <t xml:space="preserve">27.94 </t>
  </si>
  <si>
    <t>76,24 EUR sent / 76 EUR order</t>
  </si>
  <si>
    <t>offer sent 30.9.2024</t>
  </si>
  <si>
    <t>SCS-X00380857-VS00 !!!</t>
  </si>
  <si>
    <t>640425330  / ASZ0011753741</t>
  </si>
  <si>
    <t>18097/18098</t>
  </si>
  <si>
    <t>2 x Oil collection container Guide rails - dotaz na číslo materiálu sent 23.9.2024 to Sch</t>
  </si>
  <si>
    <t>Oil collector support</t>
  </si>
  <si>
    <t>50,5 EUR</t>
  </si>
  <si>
    <t>offer sent 23.9.2024</t>
  </si>
  <si>
    <t xml:space="preserve">Ángel Luis Gea Villanueva </t>
  </si>
  <si>
    <t>2409ESP1107 =&gt; ES1 - 303553566-200 =&gt; Metro Ventas Project - Madrid</t>
  </si>
  <si>
    <t>2 emails sent to Kevin &amp; Láďa</t>
  </si>
  <si>
    <t xml:space="preserve">Mr. Pascual Izaguerri Castillo </t>
  </si>
  <si>
    <t xml:space="preserve">SCS-X00383323-VS00 </t>
  </si>
  <si>
    <t>UKC0011796945</t>
  </si>
  <si>
    <t xml:space="preserve">2 units of Material Code S0PF49110157 </t>
  </si>
  <si>
    <t>134,62 EUR</t>
  </si>
  <si>
    <t>offer sent 7.10.2024</t>
  </si>
  <si>
    <t>SCS-X00383891-VS00 - WAITING FOR LAURA - UPDATE IN SUPPLY ON</t>
  </si>
  <si>
    <t>4543604812 - 31.10.</t>
  </si>
  <si>
    <t>S0PF56225376 - Oleo LSB16.B – 9 pcs updated z 12 ks na 9ks // 22.10. to speed up-update to 24.10.2024</t>
  </si>
  <si>
    <t>offer sent 9.10.2024</t>
  </si>
  <si>
    <t>jesus.alvarez@schindler.com</t>
  </si>
  <si>
    <t>SCS-U00384058-VS00</t>
  </si>
  <si>
    <t>500x ID 51959151 Lock washer seismic 50x55x6</t>
  </si>
  <si>
    <t>348,30 EUR</t>
  </si>
  <si>
    <t>offer sent 16.10.2024</t>
  </si>
  <si>
    <t>SCS-X00384909-VS00</t>
  </si>
  <si>
    <t>REB0011688603</t>
  </si>
  <si>
    <t>1 x ID 57851568 and 1 x 57851393</t>
  </si>
  <si>
    <t>Urban Mihelič</t>
  </si>
  <si>
    <t xml:space="preserve">offer. 59102175 </t>
  </si>
  <si>
    <t>SCS-X00385837-VS00</t>
  </si>
  <si>
    <t>T1 4543608613 /  640432240 ITEM 200</t>
  </si>
  <si>
    <t>4541049788 / MIL0020114075</t>
  </si>
  <si>
    <t>4543659738 - 14.11.</t>
  </si>
  <si>
    <t>MIL0020114075</t>
  </si>
  <si>
    <t>offer sent 22.10.2024</t>
  </si>
  <si>
    <t>SCS-D00385863-VS00</t>
  </si>
  <si>
    <t>WAW0011756496 &amp; WAW0011756499</t>
  </si>
  <si>
    <t>offer sent 21.10.2024</t>
  </si>
  <si>
    <t xml:space="preserve">Solicitud presupuesto palomillas //  of-202400640 </t>
  </si>
  <si>
    <t xml:space="preserve">S0PF50809689 Z-AL1E T75 or T89LH </t>
  </si>
  <si>
    <t>SCS-X00385721-VS00</t>
  </si>
  <si>
    <t>51952796  - Standard Ladder - L=3200mm</t>
  </si>
  <si>
    <t xml:space="preserve">Alberto Brambilla </t>
  </si>
  <si>
    <t>commission 20113311 VI-01-2024-00000812</t>
  </si>
  <si>
    <t>N°1 Z-Al 1E and relative accessories / N°1 A1 L and relative accessories</t>
  </si>
  <si>
    <t>SCS-X00386894-VS00</t>
  </si>
  <si>
    <t>Project BH99 - CPH0020121784</t>
  </si>
  <si>
    <t>40 x Fishplates for T75 guiderails Id no. 59341230 -  // 20 x id S0PF56303684.</t>
  </si>
  <si>
    <t>offer sent 31.10.204</t>
  </si>
  <si>
    <t>esther.arrieta@schindler.com; scs_offers@schindler.com</t>
  </si>
  <si>
    <t>SCS-X00387485-VS00</t>
  </si>
  <si>
    <t>T1 4543724160 640434487 - ASZ0020120290</t>
  </si>
  <si>
    <t>S01S57812732 - C-porter - new  / jen část z S0PF56226243 MS MRL 732 106/160 FMB130A/B 2 T75 H50.</t>
  </si>
  <si>
    <t>Alberto Brambilla - Italy</t>
  </si>
  <si>
    <t>commission 20114489 / VI-01-2024-00000821</t>
  </si>
  <si>
    <t>N°1 Z-AL 1E and N°1 O-A1 L 708/732 106 1</t>
  </si>
  <si>
    <t>SCS-X00387938-VS00</t>
  </si>
  <si>
    <t>4540364956 / DES0011762876</t>
  </si>
  <si>
    <t>dodaz na čísla materiálu Jezúsovi odeslán 5.11.2024</t>
  </si>
  <si>
    <t>SCS-X00388835-VS00</t>
  </si>
  <si>
    <t>4xS0PFX1973520 - O-D Bracket H BG1400 TG190 1 //4x S0PFX7646355  - Z-EL4</t>
  </si>
  <si>
    <t>offer sent 8.11.2024</t>
  </si>
  <si>
    <t>If there is order for this COMM (and has not been delivered) -&gt; change original SO (material and/or price) - support from ENG if necessary</t>
  </si>
  <si>
    <t>If there is no order (or it was delivered) -&gt; create new SO and invoice</t>
  </si>
  <si>
    <t>admin-34 EUR / BALENI - 3,3 EUR/</t>
  </si>
  <si>
    <t>PALETA - 11 EUR</t>
  </si>
  <si>
    <t>EC</t>
  </si>
  <si>
    <t>Lead time</t>
  </si>
  <si>
    <t>Estación Metro Santiago Bernabéu</t>
  </si>
  <si>
    <t>SO-01-2024-00007397</t>
  </si>
  <si>
    <t>303449704-100</t>
  </si>
  <si>
    <t>380 Fix Points</t>
  </si>
  <si>
    <t>SAC</t>
  </si>
  <si>
    <t>SO-01-2024-00007445</t>
  </si>
  <si>
    <t>380 Machine support</t>
  </si>
  <si>
    <t>SO-01-2024-00007567</t>
  </si>
  <si>
    <t>380 Pit set</t>
  </si>
  <si>
    <t>SO-01-2024-00007510</t>
  </si>
  <si>
    <t>303449704-200</t>
  </si>
  <si>
    <t>340 Brackets</t>
  </si>
  <si>
    <t>SO-01-2024-00007478</t>
  </si>
  <si>
    <t>600 CWT Frame</t>
  </si>
  <si>
    <t>SO-01-2024-00007447</t>
  </si>
  <si>
    <t>SO-01-2024-00007395</t>
  </si>
  <si>
    <t>340 Guides</t>
  </si>
  <si>
    <t>SAV</t>
  </si>
  <si>
    <t>SAVERA SPAIN</t>
  </si>
  <si>
    <t>SO-01-2024-00007568</t>
  </si>
  <si>
    <t>ES1 - 303553566-200 =&gt; Metro Ventas Project - Madrid</t>
  </si>
  <si>
    <t xml:space="preserve">67 EUR </t>
  </si>
  <si>
    <t>SCS-U00370746-VS00 - price in Supplyon 140 eur</t>
  </si>
  <si>
    <t>SCS-U00367298-VS00 - price in Supplyon 140 eur</t>
  </si>
  <si>
    <t xml:space="preserve">1) 1 x 57637766 - TD Switch Assembly L=3000, Type A-wrong No. // 2) S0PF51201438 Tension device arm mod. left overspeed </t>
  </si>
  <si>
    <t>1 x  56226032; 2 x  56226293 ; 2 x  56226179 / DIRECT DELIVERY CH = S0PF56226032; S0PF56226293; S0PF56226179</t>
  </si>
  <si>
    <t>Berta Navarro / Eva Gonzalvo / Isaac Herraiz - Schindler</t>
  </si>
  <si>
    <t>537,--  EUR</t>
  </si>
  <si>
    <t>offer sent 12.11.2024</t>
  </si>
  <si>
    <t>offer</t>
  </si>
  <si>
    <t>rejected by customer</t>
  </si>
  <si>
    <t>SCS-X00389427-VS00</t>
  </si>
  <si>
    <t>reema.benarsie@schindler.com</t>
  </si>
  <si>
    <t>Reema Benarsie / Gerard Dolman</t>
  </si>
  <si>
    <t>HGR 2800 / HSK = 4350 mm // lift is a Firefighter lift</t>
  </si>
  <si>
    <t>gundula.glindemann@schindler.com</t>
  </si>
  <si>
    <t>New length of cable for KSS switch -&gt; 45 m //  New length of cable for KSSG switch -&gt; 45 m J82+J83</t>
  </si>
  <si>
    <t xml:space="preserve">New length of cable for KSS switch -&gt; 64 m // New length of cable for KSSG switch -&gt; 64 m </t>
  </si>
  <si>
    <t xml:space="preserve">ABSOLUTE_900 </t>
  </si>
  <si>
    <t>offer sent 15.11.2024</t>
  </si>
  <si>
    <t>offer sent 18.11.2024</t>
  </si>
  <si>
    <t>S0PFX1972535 - 24,62 / S0PFX1973376 - 80,48 / S0PFX1973375 - 61,35</t>
  </si>
  <si>
    <t>Commission 11812927 // OF-202400689</t>
  </si>
  <si>
    <t>David Haya Gutierrez &lt;david.haya@schindler.com&gt;</t>
  </si>
  <si>
    <t>326 EUR</t>
  </si>
  <si>
    <t>commission 20113964 VI-01-2024-00001029</t>
  </si>
  <si>
    <t>Offer request Brackets- ESP0020122585CAP1 -ABSOLUTE_900</t>
  </si>
  <si>
    <t xml:space="preserve">José María Obis Monclus </t>
  </si>
  <si>
    <t>DEU0011701121</t>
  </si>
  <si>
    <t>Project 11701121 - Bergstraße 63, Herne</t>
  </si>
  <si>
    <t>Dear David,</t>
  </si>
  <si>
    <r>
      <t xml:space="preserve">We can offer you this material for </t>
    </r>
    <r>
      <rPr>
        <b/>
        <sz val="11"/>
        <color theme="1"/>
        <rFont val="Calibri"/>
        <family val="2"/>
        <charset val="238"/>
        <scheme val="minor"/>
      </rPr>
      <t>326  EUR</t>
    </r>
  </si>
  <si>
    <r>
      <t>S0PF50809689 -</t>
    </r>
    <r>
      <rPr>
        <sz val="10"/>
        <color theme="1"/>
        <rFont val="Arial"/>
        <family val="2"/>
        <charset val="238"/>
      </rPr>
      <t xml:space="preserve"> Z-AL1E T75 or T89LH</t>
    </r>
  </si>
  <si>
    <t>Mat</t>
  </si>
  <si>
    <t>Price per unit</t>
  </si>
  <si>
    <t>Pcs</t>
  </si>
  <si>
    <t>Subt</t>
  </si>
  <si>
    <t>S0PF50809689</t>
  </si>
  <si>
    <t>       277,00 EUR</t>
  </si>
  <si>
    <t>Prep. Fee, packaging, packing</t>
  </si>
  <si>
    <t>         48,30 EUR</t>
  </si>
  <si>
    <t> EXW OSTRAVA, CZ</t>
  </si>
  <si>
    <t>Total</t>
  </si>
  <si>
    <t>                EUR</t>
  </si>
  <si>
    <t>325,30 EUR</t>
  </si>
  <si>
    <t>This price is without transport cost.</t>
  </si>
  <si>
    <t>Offer for INCOTERMS: EXW OSTRAVA, CZ</t>
  </si>
  <si>
    <t>Leed time                1.12. 2024</t>
  </si>
  <si>
    <t>Price is valid till    31.12. 2024</t>
  </si>
  <si>
    <t>Thank you</t>
  </si>
  <si>
    <t xml:space="preserve">Chris Schmidtchen </t>
  </si>
  <si>
    <t>20116541 – ES5.1 - HEINRICH-HEINE-PLATZ 9-12C – LDU N-9</t>
  </si>
  <si>
    <t>20116540 – ES5.1 - HEINRICH-HEINE-PLATZ 9-12C – LDU N-8</t>
  </si>
  <si>
    <t xml:space="preserve">Cable KSS, KSSG -&gt; 44m - LDU set to N-8 - - New Lenght of cable for KSS switch -&gt; 47m
- New Lenght of cable for KSSG switch -&gt; 47m </t>
  </si>
  <si>
    <t xml:space="preserve">Cable KSS, KSSG -&gt; 50m - LDU set to N-9 - - New Lenght of cable for KSS switch -&gt; 50m
- New Lenght of cable for KSSG switch -&gt; 50m </t>
  </si>
  <si>
    <t>Vendor inquiry - 20116545 – ES5.1 - HEINRICH-HEINE-PLATZ 9-12C – LDU N-7</t>
  </si>
  <si>
    <t xml:space="preserve">Cable KSS, KSSG -&gt; 44m - LDU set to N-7 please offer us for the DU FIX Points the needed longer cable to move the LDU from stop 8.1 to "next to the pit". Additional length is +29m.
Please offer us:- New Lenght of cable for KSS switch -&gt; 44m- New Lenght of cable for KSSG switch -&gt; 44m </t>
  </si>
  <si>
    <t>20116545 – ES5.1 - HEINRICH-HEINE-PLATZ 9-12C – LDU N-7</t>
  </si>
  <si>
    <t>S0PF56303684Pair fishplates guide T75-3/B w screws ; S0PF56303719  FISHPLATE H50 HARDWARE BAG - sent to SCH 19.11.2024</t>
  </si>
  <si>
    <t>Project 11701121 - Bergstraße 63, Herne - DEU0011701121</t>
  </si>
  <si>
    <t xml:space="preserve">8 x S0PF56303684  / 4 x S0PF56303719  </t>
  </si>
  <si>
    <t>offer sent 20.11.2024</t>
  </si>
  <si>
    <t>12 pcs</t>
  </si>
  <si>
    <t>112,26 / 113 EUR</t>
  </si>
  <si>
    <t xml:space="preserve">T75-3/B guides and H50 guides - They need extra fishplates, bolts and screws // 8 x S0PF56303684  / 4 x S0PF56303719  </t>
  </si>
  <si>
    <t>Quotation 11789770 - BUFFER</t>
  </si>
  <si>
    <t>HGR 2800 / HSK = 4350 mm // lift is not a Firefighter lift</t>
  </si>
  <si>
    <t xml:space="preserve">N°1 Z-AL1 - </t>
  </si>
  <si>
    <t>to send 20.11.2024</t>
  </si>
  <si>
    <t>S0PF56226483 -  sent 20.11.2024</t>
  </si>
  <si>
    <t xml:space="preserve">Quotation 11789769 - BUFFER, Brackets, Machine support, </t>
  </si>
  <si>
    <t>out of scope - cancelled from our side 20.11.2024</t>
  </si>
  <si>
    <t>S0PF57675216 - 35,19 EUR+ 350 CZK=14 EUR</t>
  </si>
  <si>
    <t>S0PF57675216-35,19 EUR + 320 CZK=13EUR</t>
  </si>
  <si>
    <t>S0PF57675216-35,19 EUR + 290 CZK= 12 EUR</t>
  </si>
  <si>
    <t xml:space="preserve">Gundula Glindemann /Chris Schmidtchen </t>
  </si>
  <si>
    <t xml:space="preserve">Gundula Glindemann / Chris Schmidtchen </t>
  </si>
  <si>
    <t xml:space="preserve">S0PF57675216 + 490 CZK /25,32= </t>
  </si>
  <si>
    <t>offer sent 22.11.2024</t>
  </si>
  <si>
    <t>alberto.brambilla@schindler.com</t>
  </si>
  <si>
    <t>VI-01-2024-00001076</t>
  </si>
  <si>
    <t>offer sent 22.11.2024 / 25.11.2024 / 26.11.2024</t>
  </si>
  <si>
    <t>cancelled by customer 26.11.</t>
  </si>
  <si>
    <t>offer sent 26.11.2024</t>
  </si>
  <si>
    <t>cancelled</t>
  </si>
  <si>
    <t xml:space="preserve">Martin Studeny </t>
  </si>
  <si>
    <t>VI-01-2024-00001090</t>
  </si>
  <si>
    <t xml:space="preserve">martin.studeny@schindler.com </t>
  </si>
  <si>
    <t>protiváhy dle přiložené specifikace? Výtah má rozměry klece jako pro nosnost 1500 kg, ale nosnost zvyšujeme na 2000 kg.Proto je použitá rám protiváhy s jinými parametry.</t>
  </si>
  <si>
    <t>VI-01-2024-00001089</t>
  </si>
  <si>
    <t>suport stroje dle přiložené specifikace? Výtah má rozměry klece jako pro nosnost 1500 kg, ale nosnost zvyšujeme na 2000 kg./Proto jsou použitá vodítka klece typu T127-1/B (namísto T89/B).</t>
  </si>
  <si>
    <t>VI-01-2024-00001088</t>
  </si>
  <si>
    <t>pro nárazníky dle přiložené specifikace? Výtah má rozměry klece jako pro nosnost 1500 kg, ale nosnost zvyšujeme na 2000 kg.</t>
  </si>
  <si>
    <t>VI-01-2024-00001087</t>
  </si>
  <si>
    <t>nabídku pro kotvy vodítek dle přiložené specifikace? Výtah má rozměry klece jako pro nosnost 1500 kg, ale nosnost zvyšujeme na 2000 kg./ Proto jsou použité jiné kotevní díly.</t>
  </si>
  <si>
    <t>Jesús Álvarez Zabala</t>
  </si>
  <si>
    <t>SCS-X00391824-VS00</t>
  </si>
  <si>
    <t>4 Pcs 57812718 for guide H75</t>
  </si>
  <si>
    <t>4543159317 / DEU0011743093</t>
  </si>
  <si>
    <t xml:space="preserve">S0PFX7667915 Z-FL11 / S0PFX1973520 O-D Bracket H BG1400 TG190 1
</t>
  </si>
  <si>
    <t>S01S56225636  - TOTO ČÍSLO NEEXISTUJE V CENÍKU !!! / S01S56225636 Inferior emergency stop.H50/H75 Cwt Guid</t>
  </si>
  <si>
    <t>Offer extracost GGM2 ES5.3</t>
  </si>
  <si>
    <t xml:space="preserve">HGR=3200 to HGR=2900 and guide shoe I10 to R3.CW </t>
  </si>
  <si>
    <t xml:space="preserve">César Aristarco Serrablo Requejo </t>
  </si>
  <si>
    <t>Offer special car rail base ES5.2</t>
  </si>
  <si>
    <t xml:space="preserve">2 pieces id.57675251 </t>
  </si>
  <si>
    <t>out of scope</t>
  </si>
  <si>
    <t>cancelled from SAC side</t>
  </si>
  <si>
    <t>offer sent 4.12.2024</t>
  </si>
  <si>
    <t>S0PFX7667915 Z-FL11 - 4 ks - TOTO ČÍSLO NEEXISTUJE V CENÍKU !!!/ S0PFX1973520  - O-D Bracket H BG1400 TG190 1 - 4 ks</t>
  </si>
  <si>
    <t>josemaria.obis@schindler.com; scs_offers@schindler.com</t>
  </si>
  <si>
    <t xml:space="preserve">4539822862  </t>
  </si>
  <si>
    <t>DES0011749357</t>
  </si>
  <si>
    <t>SCS-X00392522-VS00</t>
  </si>
  <si>
    <t>2 pcs 57675396; 1 pc 51952795</t>
  </si>
  <si>
    <t>WAW0011785477/Project Tarnowo Podgorne</t>
  </si>
  <si>
    <t>MIL0011831549</t>
  </si>
  <si>
    <t>SCS-X00394379-VS00 / FTO ABSOLUTE_900 - Price Brackets:</t>
  </si>
  <si>
    <t>offer sent 11.12.2024</t>
  </si>
  <si>
    <t xml:space="preserve">S0PF56225956 1 ks a S0PF56225804 1 ks </t>
  </si>
  <si>
    <t>SCS-X00394792-VS01</t>
  </si>
  <si>
    <t>BG - 1400/C - 420// CWT Rail Type - T89/B // HFP - 62 // B - 220</t>
  </si>
  <si>
    <t xml:space="preserve">cesar.serrablo@schindler.com&gt; </t>
  </si>
  <si>
    <t>counterweight frame A201-A202</t>
  </si>
  <si>
    <t>S0PFE9372351 - Comp.chain 60x60 cpl.guide T75/89.BG1400</t>
  </si>
  <si>
    <t>offer sent 13.12.2024</t>
  </si>
  <si>
    <t>4543910450 /  DEU0020121625</t>
  </si>
  <si>
    <t>3x O-D H 1400 190 1 // 3x Z-EL7</t>
  </si>
  <si>
    <t>DES0011742866</t>
  </si>
  <si>
    <t>Tension Weight 59001042 - 1 unit</t>
  </si>
  <si>
    <t>4x O-D H 1400 190 1 // 4x Z-EL6</t>
  </si>
  <si>
    <t>4543910447 / DEU0020121623</t>
  </si>
  <si>
    <t>urgent</t>
  </si>
  <si>
    <t>3 Pcs 56225376 Buffer OLEO LSB16.B A0 (BC1CA-E0-B10)</t>
  </si>
  <si>
    <t xml:space="preserve">4x S0PF57638253 /1x S0PF56226193 /2x S0PF56226179 /2x S0PF52513990 /1x S0PF51201322 /1x S0PF51201323 </t>
  </si>
  <si>
    <t>offer sent 17.12.2024</t>
  </si>
  <si>
    <t>Jesús Álvarez Zabala  sent</t>
  </si>
  <si>
    <t>S0PFX1973520 – 129,80 / S0PFX7646364 –   10,51</t>
  </si>
  <si>
    <t>S0PF56225376 - 3 pcs</t>
  </si>
  <si>
    <t>WAW0011793140</t>
  </si>
  <si>
    <t>CTW support buffers</t>
  </si>
  <si>
    <t>!!!</t>
  </si>
  <si>
    <t>julien.lamarca@schindler.com</t>
  </si>
  <si>
    <t xml:space="preserve">DELTA - 400553092 - METRO DE RENNES Ligne A - Station REPUBLIQUE - </t>
  </si>
  <si>
    <t xml:space="preserve">DELTA - 400542383 - METRO DE RENNES Ligne A - Station Triangle - </t>
  </si>
  <si>
    <t>VO-01-2024-00001081</t>
  </si>
  <si>
    <t>COS  59001034 with KSS_KSSG cable lenght 45 m</t>
  </si>
  <si>
    <t>offer sent 20.12.2024</t>
  </si>
  <si>
    <t xml:space="preserve">S0PFX1973520 - 4 PSC / S0PFX7646361 - 4 PCS </t>
  </si>
  <si>
    <t>DEU0020121623</t>
  </si>
  <si>
    <t xml:space="preserve">Gundula Glindemann </t>
  </si>
  <si>
    <t xml:space="preserve">VO-01-2024-00001083 </t>
  </si>
  <si>
    <t>Cena 920700000010 za metr a vynásobit x30M. Ke zpracování</t>
  </si>
  <si>
    <t>24m fare away from original configuration, see attached COS for commission 11828286. Please offer cables for KSS/KSSG switch with length: (15 m + 24 m) =&gt; 39 m.</t>
  </si>
  <si>
    <t>VO-01-2024-00001084</t>
  </si>
  <si>
    <t>25 m fare away from original configuration, see attached COS for commission 11828278. Please offer cables for KSS/KSSG switch with length: (15 m + 25 m) =&gt; 40 m.</t>
  </si>
  <si>
    <t>SCS-X00395483-VS00</t>
  </si>
  <si>
    <t>4543434876 / DEU0011791589</t>
  </si>
  <si>
    <t>1x O-A2 L 1002 106 1_T75_H50</t>
  </si>
  <si>
    <t>SCS-X00389427-VS00-wrong, changed to SCS-X00389709-VS00 20.11.2024</t>
  </si>
  <si>
    <t>ABSOLUTE 20116538 ES5.1 HEINRICH-HEINE-PLATZ 9-12C new Cable KSS, KSSG-can not be send</t>
  </si>
  <si>
    <t>S0PF57675216=35,19 EUR + 300 CZK/25,32=</t>
  </si>
  <si>
    <t>ABSOLUTE 20116543 ES5.1 HEINRICH-HEINE-PLATZ 9-12C new Cable KSS, KSSG-can not be send</t>
  </si>
  <si>
    <t>Vendor inquiry - 20116541 – ES5.1 - HEINRICH-HEINE-PLATZ 9-12C – LDU N-9</t>
  </si>
  <si>
    <t>správně, nové SCS-X00392918-VS00 = původně Offer SCS-X00391391-VS00</t>
  </si>
  <si>
    <t>S0PFX9348350 1ks; S0PF50809668 1ks; S0PF52513990 2ks</t>
  </si>
  <si>
    <t>offer sent 7.1.2025</t>
  </si>
  <si>
    <t>Qty = 2   Omega Bracket type  O-C-H-850-190-1 / •Qty = 2   Z Bracket type Z-SH6 /// S0PFX1973211- O-C Bracket H BG850 TG190 1 a S0PFX7660986 - Z-SH6</t>
  </si>
  <si>
    <t>Qty = 4  Omega Bracket type O-B-L-1002-160-1 / Qty=4  Z Bracket type Z-EL3 /// S0PFX1971310 - 4 ks - O-B Bracket L BG1002 TG160 1 + S0PFX7646352 - 4 ks - Z-EL3</t>
  </si>
  <si>
    <t xml:space="preserve">S0PF49110116 - 1 ks a  S0PF56226178 - 2 ks </t>
  </si>
  <si>
    <t xml:space="preserve">Jesús Álvarez Zabala  </t>
  </si>
  <si>
    <t xml:space="preserve">Julien Lamarca </t>
  </si>
  <si>
    <t>2x S0PF56225376 = 54,79 EUR + další materiál</t>
  </si>
  <si>
    <t>SCS-X00397070-VS00</t>
  </si>
  <si>
    <t>Maria Esther Arrieta Salas</t>
  </si>
  <si>
    <t>4541575185/ ASZ0011641674</t>
  </si>
  <si>
    <t>1 x 59001045  COS Pit Set as per the original one supplied with attached PO</t>
  </si>
  <si>
    <t>SCS-X00397021-VS00</t>
  </si>
  <si>
    <t>2 x Car Buffer plinth to welded (2 pieces)</t>
  </si>
  <si>
    <t>4541252938/MIL0020106837</t>
  </si>
  <si>
    <t>SCS-X00396134-VS00</t>
  </si>
  <si>
    <t>S0PF51968854-Fixpoint assembly type 1 T75 CWT Left</t>
  </si>
  <si>
    <t>FTO - 17.1.2025</t>
  </si>
  <si>
    <t>FTO - 14.1.2025</t>
  </si>
  <si>
    <t xml:space="preserve">S0PF49110154 - 1 Pc,  Lateral Support for CWT H50 </t>
  </si>
  <si>
    <t>SCS-X00397040-VS00</t>
  </si>
  <si>
    <t xml:space="preserve">SPEC_O_DELTA_400542383 </t>
  </si>
  <si>
    <t xml:space="preserve">SPEC_O_DELTA_400553092 </t>
  </si>
  <si>
    <t>SCS-X00397598-VS00</t>
  </si>
  <si>
    <t>1 x 51201451 KIT RUNG LADDER</t>
  </si>
  <si>
    <t>4544493036/MIL0011758943</t>
  </si>
  <si>
    <t>SCS-X00397604-VS00</t>
  </si>
  <si>
    <t>2 x 57638253; 2 x 56226183; 1 x 51201322</t>
  </si>
  <si>
    <t>640447754 / 4544491128 - DEU001173582</t>
  </si>
  <si>
    <t>4542296658 / DEU0011735829</t>
  </si>
  <si>
    <t>EMESA, SCHINDLER, SCS-X00396494-VS00// OF-202500004</t>
  </si>
  <si>
    <t>Ramiro; J.Ruz; I.Muňoz</t>
  </si>
  <si>
    <t>9x S0PF56225897 + transport</t>
  </si>
  <si>
    <t>S0PF56225897 - O-A2 H 708/732 106 1_T75_H50 - 23,25 + 2 pcs  S00F59392931 TSD21 Buffer Stop 2STM cpl. T75 HSK left 
=    S0PF59392940	TSD21 Stop Support left 2STM cpl. T75</t>
  </si>
  <si>
    <t>9 + 2</t>
  </si>
  <si>
    <t>SCS-X00397430-VS00</t>
  </si>
  <si>
    <t>SCS-X00397433-VS00</t>
  </si>
  <si>
    <t>SCS-X00397437-VS00</t>
  </si>
  <si>
    <t>3 Pcs 56225376 - S0PF56225376</t>
  </si>
  <si>
    <t>4544498825 / DEU0020122423</t>
  </si>
  <si>
    <t>4x Brackets Z-CH2 T75 -  S0PF56225771</t>
  </si>
  <si>
    <t>SCS-X00398064-VS00</t>
  </si>
  <si>
    <t>SCS-X00397932-VS00</t>
  </si>
  <si>
    <t>José-María Obis Monclus</t>
  </si>
  <si>
    <t>updated 17.1.2025</t>
  </si>
  <si>
    <t>CAI1002430-003 / Project Club House extra one stop</t>
  </si>
  <si>
    <t xml:space="preserve">2 x O-A1-L-185-106-1* 56225804 O-A1 L 850 106 1_T75_H50            ///  2 x Z-A-L-6        		 57632063 Z-AL6   </t>
  </si>
  <si>
    <t xml:space="preserve">2 x S0PF56225804 - O-A1-L-185-106-1 /2 x S0PF57632063Z-A-L-6             </t>
  </si>
  <si>
    <t>SCS-X00398735-VS00</t>
  </si>
  <si>
    <t>Project ID 49110039</t>
  </si>
  <si>
    <t>Protection Screen CW31-7311 SG=178</t>
  </si>
  <si>
    <t>more details? 49110039 NE</t>
  </si>
  <si>
    <t xml:space="preserve">Offer F3 (ES5.0) </t>
  </si>
  <si>
    <t>We need you the attached material where we change the type of Counterwegiht from GG41-850-106 to GG41-708-106</t>
  </si>
  <si>
    <t>59001036-Machine Frame; 59001033-Counterweight frame; 59001035-Brackets</t>
  </si>
  <si>
    <t>cesar.serrablo@schindler.com</t>
  </si>
  <si>
    <t>S0PF49110157 - 2 PCS</t>
  </si>
  <si>
    <t>Ramiro; Zdenko Tkalec ; Denis Selko</t>
  </si>
  <si>
    <t>zdenko.tkalec@schindler.com; denis.selko@schindler.com</t>
  </si>
  <si>
    <t>ABSOLUTE_900 - Requirement price Car Guide Fishplate</t>
  </si>
  <si>
    <t>4542624851 / MIL0011711131</t>
  </si>
  <si>
    <t>8 pcs - car guide fishplate</t>
  </si>
  <si>
    <t>S0PF56303684</t>
  </si>
  <si>
    <t>SCS-X00399095-VS00</t>
  </si>
  <si>
    <t>4544617377 / DEU0011835647</t>
  </si>
  <si>
    <t>3x  57850573 -  Z-CH16 / 3x 51973522 -  O-D H 1400 190 3</t>
  </si>
  <si>
    <t>TRANSPORT + CUSTOMS</t>
  </si>
  <si>
    <t>S01S59102175 - Assembly incl. Wire - ZRUŠENO; S01S59102179 - Sub-component = only metallic assembly/Slack detector Type B, 1 STM right cpl</t>
  </si>
  <si>
    <t>SCS-X00397440-VS00</t>
  </si>
  <si>
    <t>switch</t>
  </si>
  <si>
    <t>ES5</t>
  </si>
  <si>
    <t>SCS-X00400901-VS00</t>
  </si>
  <si>
    <t>1.Tension Weight TD203 59348350/2.- Gov Rope:Length governor rope -45,0 m; Length governor rope -45,0 m/Id. Safety rope/ 6 6x19S-SFC 1770 B sZ 3.Switch corresponding to Id.Nr.57666256</t>
  </si>
  <si>
    <t>SCS-X00400918-VS01</t>
  </si>
  <si>
    <t>51973766 Pit Ladder L=2400</t>
  </si>
  <si>
    <t>1957,8+78,3</t>
  </si>
  <si>
    <t>SCS-X00401101-VS00</t>
  </si>
  <si>
    <t>4544681594 - 640451960 - DEU0011655190</t>
  </si>
  <si>
    <t>7 x 56225845 O-A2 L 1002 106 4_T89_H75/T75 // 7 x 50809690 Z-AL1E T89</t>
  </si>
  <si>
    <t>PO 4538584250 for commission number DEU0011657066</t>
  </si>
  <si>
    <t>PO 4542956797 Commission number DEU0011655190</t>
  </si>
  <si>
    <t>50 pcs S0PF50809709       Z-AL0E/CL0E T75 or T89LH //•	13 pcs S0PF51200045       Bag sliding clip SL3 Short (T75) (x8)</t>
  </si>
  <si>
    <t>Ramiro, david.haya@schindler.com; b.navarro@saveragroup.com</t>
  </si>
  <si>
    <t>ABSOLUTE - VO-01-2025-00000210 - Commission 11679770</t>
  </si>
  <si>
    <t>OF-202500086 + transport PAMPLONA</t>
  </si>
  <si>
    <t>Governonr ropes / Tension Device</t>
  </si>
  <si>
    <t>SCS-X00398702-VS00</t>
  </si>
  <si>
    <t>DAP</t>
  </si>
  <si>
    <t>SCS-X00401717-VS00</t>
  </si>
  <si>
    <t>complete Pit Ladder</t>
  </si>
  <si>
    <t>4538573805 / MIL0011680570</t>
  </si>
  <si>
    <t>Slack detector Type B, 1 STM right</t>
  </si>
  <si>
    <t>SCS-X00398881-VS00</t>
  </si>
  <si>
    <t>SCS-X00397427-VS00</t>
  </si>
  <si>
    <t>Benno Herzog</t>
  </si>
  <si>
    <t>Offer Kom. 20118922 CWT screen cpl</t>
  </si>
  <si>
    <t>516,-/656,-</t>
  </si>
  <si>
    <t>dennis.meitzner@schindler.com; chris.schmidtchen@schindler.com</t>
  </si>
  <si>
    <t>2 pcs of 49110116 "Rail sup_BG1000_HSS2_167_ZPG2_D0D2_400L4 - ONLY WOODEN ELEMENT</t>
  </si>
  <si>
    <t xml:space="preserve">N°1 Z-AL1E; N°1 O-A1-L 708/732 106 1 === S0PF56225813 O-A1 L 708/732 106 1_T75_H50  +      S0PF50809689 Z-AL1E T75 or T89LH                                                                                                                                                                                                                </t>
  </si>
  <si>
    <t>2 PCS   S0PF49110157 St_Buf_D0D2_400L4401L4_HSS1-700_LFKP82 // 1 PC     S0PFX1952795 Stand. Ladder - L=2600</t>
  </si>
  <si>
    <t>Please offer cables for KSS/KSSG switch with length: (15 m + 27 m) =&gt; 42 m.</t>
  </si>
  <si>
    <t>Please offer cables for KSS/KSSG switch with length: (15 m + 24 m) =&gt;39m.</t>
  </si>
  <si>
    <r>
      <t xml:space="preserve">SPEC_O_ </t>
    </r>
    <r>
      <rPr>
        <sz val="10"/>
        <rFont val="Aptos"/>
        <family val="2"/>
      </rPr>
      <t>00001085</t>
    </r>
  </si>
  <si>
    <t>Please offer cables for KSS/KSSG switch with length: (15 m + 25 m) =&gt;40m.</t>
  </si>
  <si>
    <t>REJECTED</t>
  </si>
  <si>
    <t>S0PFX9348350	Tens.device MM TD203 guide	63,88 / S0PF50801271	Gov rope 6 6x19S-SFC 1770 B sZ 01.00	1,03 / S0PF56226256	Rail sup &amp; buffer plinth BGS542_H50 PDNO	29,16</t>
  </si>
  <si>
    <t>SCS-X00401094-VS00</t>
  </si>
  <si>
    <t>4542385241 / DEU0020118836</t>
  </si>
  <si>
    <t>SCS-X00403557-VS00</t>
  </si>
  <si>
    <t>Project 812638452 NASRIC, JOHNSTOWN CASTLE - DUB0011800837</t>
  </si>
  <si>
    <t>S0PF49110180</t>
  </si>
  <si>
    <t>POZNÁMKA</t>
  </si>
  <si>
    <t>INFORMACI JESTLI SE JEDNÁ O SPECIÁLNÍ OBJEDNÁVKU, NEBO POUZE NACENĚNÍ. ZÁROVEŇ INFORMACI JESTLI DANOU OBJEDNÁVKU BUDE CHTÍT POSLÉZE OBJEDNAT, NEBO JE TOTO POUZE INFORMATIVNÍ.</t>
  </si>
  <si>
    <t>INFORMACI JESTLI SE JEDNÁ O ÚPRAVU STÁVAJÍCÍ OBJEDNÁVKY (VIZ BOD 1.2), NEBO REFERENCI NA NĚJAKOU VYTVOŘENOU OBJEDNÁVKU (VIZ BOD 1.2). NEBO KOMPLETNĚ NEZÁVISLOU OBJEDNÁVKU / NACENĚNÍ (VIZ. BOD 2)</t>
  </si>
  <si>
    <t>ČÍSLO PŮVODNÍ OBJEDNÁVKY. INFORMACI ZDA SE BUDE DO PŮVODNÍ OBJEDNÁVKY PŘIDÁVAT NEBO SE VYTVOŘÍ NOVÁ OBJEDNÁVKA</t>
  </si>
  <si>
    <t>2.</t>
  </si>
  <si>
    <t>.PDF COS S KOMPLETNÍMI PARAMETRY VIZ LIST "PDF COS" (STÁLE NENÍ JISTOTA ŽE SE OBJEDNÁVKA ROZPADNE CELÁ), NEBO DETAILNÍ INFORMACI O NACEŇOVANÉM SKU (VIZ BOD 2.1)</t>
  </si>
  <si>
    <t>2.1</t>
  </si>
  <si>
    <t>POKUD ZÁKAZNÍK POŽADUJE POUZE RYCHLÉ NACENĚNÍ PŘEDEM ZNÁMÝCH JEDNOTLIVÝCH SKU V RODINĚ, STAČÍ INFO: např. 2x O-B L 1002 1 190</t>
  </si>
  <si>
    <t>POKUD TOTO NESTAČÍ, JE TŘEBA VYŽADOVAT COS ZMÍNĚNÝ V PŘEDCHOZÍM BODĚ (2.)</t>
  </si>
  <si>
    <t>PAR0011827825 &amp; 827   Modification CWT guide shoe type MM_GSR_3_CWSS for GQ= 1800 Kg &amp; TK= 3000 mm</t>
  </si>
  <si>
    <t xml:space="preserve"> PAR0011827825 &amp; 827   Modification brackets for GQ= 1800 Kg &amp; TK= 3000 mm</t>
  </si>
  <si>
    <t>1x S0PF51201438 TENSION DEVICE ARM MOD. LEFT OVERSPEED / 1x S0PF51201329 TD201 BUFFER IMPACT SUPPORT SHORT CPL. EN81-20 / 2x S0PF51971853 - Kit Fall Protection</t>
  </si>
  <si>
    <t>ASZ0011750309, SCHSCM-40028</t>
  </si>
  <si>
    <t xml:space="preserve">4543407149  </t>
  </si>
  <si>
    <t>S01S56225638 Emergency stop guide CWT H50/H75</t>
  </si>
  <si>
    <t>lukas.zeder@schindler.com</t>
  </si>
  <si>
    <t>Offer request // DES0011810955</t>
  </si>
  <si>
    <t>reply 21.2.2025-clarification</t>
  </si>
  <si>
    <t>22724 - 	4544917190</t>
  </si>
  <si>
    <t>1 Pc 51973766 Pit Ladder L=2400mm.</t>
  </si>
  <si>
    <t xml:space="preserve">        5,54 </t>
  </si>
  <si>
    <t>SCS-X00405136-VS00</t>
  </si>
  <si>
    <t>1 x 59001045      COS Pit Set</t>
  </si>
  <si>
    <t>SCS-X00404883-VS00</t>
  </si>
  <si>
    <t xml:space="preserve"> 640456708 / ASZ0011800027</t>
  </si>
  <si>
    <t xml:space="preserve">640456578 / ASZ0011739233 </t>
  </si>
  <si>
    <t>SCS-X00404887-VS00</t>
  </si>
  <si>
    <t>2 x 57625029 - Fixed Pit Ladder length 3600mm cpl. (Aluminum)</t>
  </si>
  <si>
    <t>SCS-X00403089-VS00</t>
  </si>
  <si>
    <t>commessa 11755055_CAP1  VI-01-2025-00000388</t>
  </si>
  <si>
    <t xml:space="preserve">Arnold Zimmermann </t>
  </si>
  <si>
    <t>N°1 O-A1 L 850 106 1 T75_H50 ; N°1 Z-AL2 T75</t>
  </si>
  <si>
    <t>S0PF56225805; S0PF56225739</t>
  </si>
  <si>
    <t>14,- / 4,70</t>
  </si>
  <si>
    <t xml:space="preserve">3800 mm requierment - 3800 mm ladder – 9207A1952793 Ladder L=3800 </t>
  </si>
  <si>
    <t>SCS-X00400918-VS02</t>
  </si>
  <si>
    <t>luca.lo.presti@schindler.com; milun.durovic@schindler.com</t>
  </si>
  <si>
    <t>59001034 COS Fix Points- cable switchs</t>
  </si>
  <si>
    <t>619,86 / 620 EUR</t>
  </si>
  <si>
    <t>1 pc. KSSG switch cable length 37.00 m / 1 pc. KSS switch cable length 37.00 m</t>
  </si>
  <si>
    <t xml:space="preserve"> F3 </t>
  </si>
  <si>
    <t>SCS-X00405704-VS00</t>
  </si>
  <si>
    <t>WAW0011789191,  WAW0011789193 and WAW0011789195</t>
  </si>
  <si>
    <t>MS MRL1002 106FMB103C 2PV40/50T75H75/T75</t>
  </si>
  <si>
    <t>VI-01-2025-0000435 commessa11814730</t>
  </si>
  <si>
    <t>N°1 Omega Bracket O-A1L 1002 106 1 / N°1 Z-AL1E</t>
  </si>
  <si>
    <t>R</t>
  </si>
  <si>
    <t>rejected - mat. is not in our scope</t>
  </si>
  <si>
    <t>Market Cluster 5.0, Elevator System 5.0 -není náš scope</t>
  </si>
  <si>
    <t>S0PF56225795 / S0PF50809689</t>
  </si>
  <si>
    <t xml:space="preserve">11,71 / 4,27 </t>
  </si>
  <si>
    <t xml:space="preserve">Luca Lo Presti </t>
  </si>
  <si>
    <t xml:space="preserve">Michel Hänggi </t>
  </si>
  <si>
    <t>michel.haenggi@schindler.com</t>
  </si>
  <si>
    <t>SCS-X00407849-VS00</t>
  </si>
  <si>
    <t>Project D&amp;B // OSMOSE T2 Strasbourg - PAR0011802520</t>
  </si>
  <si>
    <t>20116538 ES5  -Vendor Inquiry VI-01-2024-00000998</t>
  </si>
  <si>
    <t>20116543 ES5 - Vendor Inquiry VI-01-2024-00001004</t>
  </si>
  <si>
    <t xml:space="preserve">Vendor Inquiry VI-01-2024-00001090 </t>
  </si>
  <si>
    <t xml:space="preserve">Vendor Inquiry VI-01-2024-00001089 </t>
  </si>
  <si>
    <t>Vendor Inquiry VI-01-2024-00001088</t>
  </si>
  <si>
    <t xml:space="preserve">Vendor Inquiry VI-01-2024-00001087 </t>
  </si>
  <si>
    <t>SCS-X00394456-VS00</t>
  </si>
  <si>
    <t>SCS-X00394454-VS00</t>
  </si>
  <si>
    <t>SCS-X00394427-VS00</t>
  </si>
  <si>
    <t>SCS-X00392955-VS00</t>
  </si>
  <si>
    <t>Vendor inquiry - 20116540 – ES5.1 - HEINRICH-HEINE-PLATZ 9-12C – LDU N-8</t>
  </si>
  <si>
    <t>COS  59001034</t>
  </si>
  <si>
    <t>39m</t>
  </si>
  <si>
    <t>30 m fare away from original configuration, see attached COS for commission 11828278=45m/11828282 = 42m</t>
  </si>
  <si>
    <t>Tension Weight Offer SCS-X00394335-VS00</t>
  </si>
  <si>
    <t>Dennis Meitzner</t>
  </si>
  <si>
    <t>dennis.meitzner@schindler.com</t>
  </si>
  <si>
    <t>Comm. 20124572</t>
  </si>
  <si>
    <t xml:space="preserve"> Offer request for Tension device_Ae00</t>
  </si>
  <si>
    <t>Urgent offer request for longer cable for fix points/ připomínka 10.3.2025</t>
  </si>
  <si>
    <t>Comm. 20125350</t>
  </si>
  <si>
    <t>S0PFX7660986 - 21 KS/ S0PFX1973325 - 1 KS / S0PFX1979595 - 20KS</t>
  </si>
  <si>
    <t>33,87/43,26/111,60</t>
  </si>
  <si>
    <t>SCS-X00408674-VS00</t>
  </si>
  <si>
    <t>4545164168 - 640462132 - ASZ0011756637</t>
  </si>
  <si>
    <t>SCS-X00408730-VS00</t>
  </si>
  <si>
    <t>4545166243 - 640462168 - ASZ0020123572</t>
  </si>
  <si>
    <t>S0PF56225822 - O-A1 L 512 106 1_T75_H50</t>
  </si>
  <si>
    <t>SCOS59001042 – COS Tension Device TD:S0NM51201435 – 1x/S0PF51201323 – 1x/S0PF51201322 – 1x/S0PF52513990 – 2x/920352513990 – 2x</t>
  </si>
  <si>
    <t>SCS-X00408864-VS00</t>
  </si>
  <si>
    <t>4545179063 - 640462329 - DEU0020120360</t>
  </si>
  <si>
    <t>4 x 56225933 O-A2 L 512 106 1_T75_H50</t>
  </si>
  <si>
    <t>129,-</t>
  </si>
  <si>
    <t>María Esther Arrieta Salas / Flamur Murseli</t>
  </si>
  <si>
    <t>COS - 1 x Tension Device</t>
  </si>
  <si>
    <t xml:space="preserve">Luis Tudanca Carramiñana </t>
  </si>
  <si>
    <t>luis.tudanca@schindler.com</t>
  </si>
  <si>
    <t>12 additional COS 59001035 BRACKETS</t>
  </si>
  <si>
    <t>Offer Request 400581370</t>
  </si>
  <si>
    <t>commission 20118920 VI-01-2025-0000555</t>
  </si>
  <si>
    <t>María Esther Arrieta Salas &lt;esther.arrieta@schindler.com&gt;</t>
  </si>
  <si>
    <t>3 x  S0PFX7642575  Z-BL 3 (car guide rail T75-3/B (75x62x10) machined).</t>
  </si>
  <si>
    <t>4545224149 - 640463225 - DEU0020121498</t>
  </si>
  <si>
    <t>51986124 STM Fixpoint - type 5</t>
  </si>
  <si>
    <t>SCS-X00409584-VS00</t>
  </si>
  <si>
    <t>4545221157 - 640463167 - DEU0020120357</t>
  </si>
  <si>
    <t>4545204617 - 640462898 - DEU0020107331</t>
  </si>
  <si>
    <r>
      <t xml:space="preserve">1 x 56225822 </t>
    </r>
    <r>
      <rPr>
        <sz val="10"/>
        <color rgb="FF000000"/>
        <rFont val="Arial"/>
        <family val="2"/>
        <charset val="238"/>
      </rPr>
      <t>O-A1 L 512 106 1_T75_H50</t>
    </r>
  </si>
  <si>
    <t>57806030  = S0PF56226305</t>
  </si>
  <si>
    <t>DELTA - VO-01-2025-00000525 - DEU0011801440</t>
  </si>
  <si>
    <t>SCS-X00408214-VS00</t>
  </si>
  <si>
    <t>Project Schiphol L132 - HAG0011756941</t>
  </si>
  <si>
    <t>4540633878 - orig.order from Emesa</t>
  </si>
  <si>
    <t>TECHNOLOGIE - MEEETING - 2/2025 -  PODMÍNKY L.DOČEKALA - NACEŇOVÁNÍ / SPECIÁLNÍCH OBJEDNÁVEK</t>
  </si>
  <si>
    <t>1.2 - NIKDY SE DO PŮV.OBJ NEPŘIDÁVÁ NIC NOVÉHO</t>
  </si>
  <si>
    <t>1.1 - VŽDY SE JEDNÁ O NOVOU OBJEDNÁVKU</t>
  </si>
  <si>
    <t>1. - VŽDY NACENĚNÍ, POTÉ VYTVOŘÍ SPEC.OBJ.</t>
  </si>
  <si>
    <t>0.1. - TENTO BOD JE AŽ NA KONCI PROCESU:</t>
  </si>
  <si>
    <t>REPETED</t>
  </si>
  <si>
    <t>SPEC.ORD.</t>
  </si>
  <si>
    <t xml:space="preserve">1 OFFER = </t>
  </si>
  <si>
    <t>UPD.</t>
  </si>
  <si>
    <t>SCS-X00386259-VS02</t>
  </si>
  <si>
    <t>52513835         Car buffer impact support set HSS1=360</t>
  </si>
  <si>
    <t>Project MTR-0032526  - ABH4255133</t>
  </si>
  <si>
    <t>4545261781; 4545271157; 4545271158; 4545271159</t>
  </si>
  <si>
    <t>sent ??</t>
  </si>
  <si>
    <t>SCS-X00408108-VS00</t>
  </si>
  <si>
    <t>ID59381987   - SCA2 - 15 pc's</t>
  </si>
  <si>
    <t>SCS-X00409600-VS00</t>
  </si>
  <si>
    <t>96,89 EUR</t>
  </si>
  <si>
    <t>102,48/64,93</t>
  </si>
  <si>
    <t>S0PFX7661050 / S0PFX1979578 our SO 23689</t>
  </si>
  <si>
    <t>SCS-X00410259-VS00</t>
  </si>
  <si>
    <t>Project Stiftungs Straße Fürth - DEU0011798812</t>
  </si>
  <si>
    <t>1x S0PF51201323 / 1x S0PF51201322 / 2x S0PF52513990</t>
  </si>
  <si>
    <t xml:space="preserve">michel.haenggi@schindler.com * </t>
  </si>
  <si>
    <t>Christopher Schmidtchen</t>
  </si>
  <si>
    <t>DELTA - 11803089 – ES5.1 - ALT-BRITZ 107, 12359 BERLIN - Control N-4 + 25m - vendor inquiry</t>
  </si>
  <si>
    <t>chris.schmidtchen@schindler.com</t>
  </si>
  <si>
    <t>56226296 Protection screen BGS762 H50 / BGS738 H7</t>
  </si>
  <si>
    <t>SCS-X00411410-VS00</t>
  </si>
  <si>
    <t xml:space="preserve"> 4545309635 - 640464554 - ASZ0011805732</t>
  </si>
  <si>
    <t>NEJLÉPE ABY ZÁKAZNÍK MĚL .XML A NAHRÁL CELOU OBJEDNÁVKU, NEBO JEJÍ ČÁST DO SYSTÉMU JAK ČINÍ S BĚŽNÝMI OBJEDNÁVKAMI (ZARUČENÝ 100% ROZPAD)</t>
  </si>
  <si>
    <t>BOD - vyjádření z praxe</t>
  </si>
  <si>
    <t>status - offer sent</t>
  </si>
  <si>
    <t>ADDITIONAL COSTS TO OFFERS:</t>
  </si>
  <si>
    <t>F3 = ES1</t>
  </si>
  <si>
    <t>update from 24/1/2025 - Ramiro - PARAMETRIC PARTS - ES5</t>
  </si>
  <si>
    <r>
      <t xml:space="preserve">54,79 </t>
    </r>
    <r>
      <rPr>
        <sz val="10"/>
        <rFont val="Segoe UI"/>
        <family val="2"/>
        <charset val="238"/>
      </rPr>
      <t> </t>
    </r>
  </si>
  <si>
    <r>
      <t>S01S59102179</t>
    </r>
    <r>
      <rPr>
        <sz val="10"/>
        <rFont val="Aptos"/>
        <family val="2"/>
      </rPr>
      <t> </t>
    </r>
  </si>
  <si>
    <r>
      <t xml:space="preserve">1x </t>
    </r>
    <r>
      <rPr>
        <i/>
        <sz val="10"/>
        <rFont val="Calibri"/>
        <family val="2"/>
        <charset val="238"/>
        <scheme val="minor"/>
      </rPr>
      <t>S0PF56225617 - CWT ACCESSORIES BOX 2 STM BFK30</t>
    </r>
  </si>
  <si>
    <t xml:space="preserve">rejected - not our scope </t>
  </si>
  <si>
    <t>sent 4x</t>
  </si>
  <si>
    <t xml:space="preserve">2x S0PF56226296 </t>
  </si>
  <si>
    <t>SCS-X00410834-VS00</t>
  </si>
  <si>
    <t>Comm. 20120374 Offer request for additional Brackets_Ae00</t>
  </si>
  <si>
    <t>2*40m</t>
  </si>
  <si>
    <t>Michel Hänggi</t>
  </si>
  <si>
    <t xml:space="preserve">SCS-X00409325-VS00 </t>
  </si>
  <si>
    <t>COS11801440 COS fix point + 920700000010 Cable 2x0,75 mm2 libre halogenos</t>
  </si>
  <si>
    <t xml:space="preserve">Björn Banse /Sebastian Staroske </t>
  </si>
  <si>
    <t>ENG.
 NOTES</t>
  </si>
  <si>
    <t>ENG.
TR (PROJECT)</t>
  </si>
  <si>
    <t>ENG. 
TIME (HRS)</t>
  </si>
  <si>
    <t>XXXX</t>
  </si>
  <si>
    <t>ENG TARIF</t>
  </si>
  <si>
    <t>ENG.
PROGRESS</t>
  </si>
  <si>
    <t>Project</t>
  </si>
  <si>
    <t>Urgent</t>
  </si>
  <si>
    <t>PARTS
PRICE (EUR)</t>
  </si>
  <si>
    <t>Reception Date</t>
  </si>
  <si>
    <t>Offer sent</t>
  </si>
  <si>
    <t>S0PFB1986108/S0PF50807727/S0PF50807728/S0PF59100854/S0PF59100855/S0PF57675216</t>
  </si>
  <si>
    <t>1x S0PF50807728 / 2x S0PF59100854 / 1x S0PF57675216</t>
  </si>
  <si>
    <t>ČEKÁME NA ESTHER</t>
  </si>
  <si>
    <t>EXW OSTRAVA * PRICE with fee/ EUR</t>
  </si>
  <si>
    <t>Frédéric Neau</t>
  </si>
  <si>
    <t>2x S0PF56226085 / 2x S0PF57812426 / 4x S0PF57807746 / 6x S0PF56226297 / 1x S0PF56226089</t>
  </si>
  <si>
    <t>SCS-X00336961-VS00</t>
  </si>
  <si>
    <t>SCS-X00336959-VS00</t>
  </si>
  <si>
    <t xml:space="preserve"> 640418188 FM -</t>
  </si>
  <si>
    <t>SCS-X00375594-VS00</t>
  </si>
  <si>
    <t>OUR NEW NUMBER OF OFFER / DOPL. K POŽADAVKŮM ZÁKAZNÍKA</t>
  </si>
  <si>
    <t xml:space="preserve">1x 56226028 /1x 56226032 / 1x 51201322  / 1x 51201323 </t>
  </si>
  <si>
    <t xml:space="preserve"> 23.1.2025</t>
  </si>
  <si>
    <t xml:space="preserve"> 24.1.2025</t>
  </si>
  <si>
    <t xml:space="preserve"> 25.2.2025</t>
  </si>
  <si>
    <t xml:space="preserve"> 7.3.2025</t>
  </si>
  <si>
    <t xml:space="preserve"> 11.3.2025</t>
  </si>
  <si>
    <t xml:space="preserve"> 14.3.2025</t>
  </si>
  <si>
    <t xml:space="preserve"> 19.3.2025</t>
  </si>
  <si>
    <t xml:space="preserve"> 1.4.2025</t>
  </si>
  <si>
    <t xml:space="preserve"> 13.2.2025</t>
  </si>
  <si>
    <t xml:space="preserve"> 06.02.2025</t>
  </si>
  <si>
    <t xml:space="preserve"> 18.2.2025</t>
  </si>
  <si>
    <t>Z-Brackets Z-CL6 instead of Z-AL1E/Instead of configurated 14 x Z-AL1E we need 14 x Z-CL6 (Schindler ID 57642334).</t>
  </si>
  <si>
    <t>- UNIVERSITÄTSPLATZ 1, 31141 HILDESHEIM</t>
  </si>
  <si>
    <t xml:space="preserve">DELTA -VO-01-2025-00000255 - - Comm.: DEU0020125285 </t>
  </si>
  <si>
    <t>bjoern.banse@schindler.com/marc.sebastian.staroske@schindler.com</t>
  </si>
  <si>
    <t>arnold.zimmermann@schindler.com</t>
  </si>
  <si>
    <t>frederic.neau@schindler.com</t>
  </si>
  <si>
    <t>urban.mihelic@schindler.com; denis.selko@schindler.com</t>
  </si>
  <si>
    <t>angel.gea@schindler.com</t>
  </si>
  <si>
    <t>adam.kulcsar@schindler.com</t>
  </si>
  <si>
    <t xml:space="preserve"> teodora.nastase@schindler.com</t>
  </si>
  <si>
    <t xml:space="preserve"> nora.vassova@schindler.com</t>
  </si>
  <si>
    <t>ABSOLUTE -</t>
  </si>
  <si>
    <t xml:space="preserve">Bartosz Kaczorowski </t>
  </si>
  <si>
    <t xml:space="preserve">bartosz.kaczorowski@schindler.com </t>
  </si>
  <si>
    <t>SCS-X00413022-VS00</t>
  </si>
  <si>
    <t>4 X CWT Pully&amp;Retainer, Z_44923713, Id 51963259</t>
  </si>
  <si>
    <t>ES5 - 23859</t>
  </si>
  <si>
    <t>SCS-X00411972-VS00</t>
  </si>
  <si>
    <t>josemaria.obis@schindler.com</t>
  </si>
  <si>
    <t>ESP0020128251 -ABSOLUTE_900</t>
  </si>
  <si>
    <t xml:space="preserve">CWT FRAME ES5 </t>
  </si>
  <si>
    <t>NOT OUR SCOPE - REJECTED BY ENGINEERING</t>
  </si>
  <si>
    <t>SCS-X00413607-VS00</t>
  </si>
  <si>
    <t>SCS-X00409398-VS00</t>
  </si>
  <si>
    <t>Requirement Price Spare Parts CWT buffer and support.</t>
  </si>
  <si>
    <t>Pascual Izaguerri Castillo</t>
  </si>
  <si>
    <t>Request for Offer for Replacement material (WII0011810692)</t>
  </si>
  <si>
    <t>SCS-X00413689-VS00</t>
  </si>
  <si>
    <t>SCS-X00413737-VS00</t>
  </si>
  <si>
    <t>Request for Offer for Replacement material (ASZ0011759357)</t>
  </si>
  <si>
    <t>1x - S0PF49110115</t>
  </si>
  <si>
    <t>ES1</t>
  </si>
  <si>
    <t>offer for a total length of 45 m?Further, we need the cables for the car AND counterweight, so the quantity should be 2 pieces.</t>
  </si>
  <si>
    <t>Sebastian Staroske</t>
  </si>
  <si>
    <t>DEU0011801440</t>
  </si>
  <si>
    <t>pascual.izaguerri@schindler.com</t>
  </si>
  <si>
    <t>2xS0PF57675216 + 2x + 45m kabel</t>
  </si>
  <si>
    <t>commission 20128709  VI-01-2025-00000835</t>
  </si>
  <si>
    <t>N°13 Z-Brackets Z-AL1</t>
  </si>
  <si>
    <t>commission  20128165 VI-01-2025-00000836</t>
  </si>
  <si>
    <t>commission 201228165 VI-01-2025-00000837</t>
  </si>
  <si>
    <t xml:space="preserve">COS 59001045 COS Pit Set  </t>
  </si>
  <si>
    <t>BRACKETS ES5 - co chcou za brackety??? Jenom brackety nebo i další součásti COSu? Doplněno</t>
  </si>
  <si>
    <t xml:space="preserve">Project beyond - TLV0011753164 - </t>
  </si>
  <si>
    <t>nedostatečné info - 7ks SKU celých bufferů, nebo jenom těch částí z obrázku?-JEN ČÁSTÍ Z OBRÁZKŮ</t>
  </si>
  <si>
    <t>7 units of Wooden Buffer 14,5cm x 12,5 cm, výška 3cm - 920357659134???</t>
  </si>
  <si>
    <t>Pit Set ES1</t>
  </si>
  <si>
    <t>2x S0PF57675216. Lenka musí všechny kabely uvnitř navýšit ručně na 45M</t>
  </si>
  <si>
    <t>Gad Grumberg</t>
  </si>
  <si>
    <t>813698492 - Falk Areal Freiburg - 11841590 C6 doors Sematic 2000 B</t>
  </si>
  <si>
    <t>COS FIX POINT - Length of cable for KSS switch 15 + 15= 30m / Length of cable for KSS switch (Counterweight) 15+15= 30m</t>
  </si>
  <si>
    <t>gad.grumberg@schindler.com</t>
  </si>
  <si>
    <t>marc.sebastian.staroske@schindler.com</t>
  </si>
  <si>
    <t>21x 9215A7646167</t>
  </si>
  <si>
    <t>Upraveno 24320 S0PFX1962491	Stingl Fold Ladder - L=4000mm</t>
  </si>
  <si>
    <t>Bracket Z-CL7*no.57642336 3x/Bracket O-A2 L 708/732 106 1_T75_H50*No.56225898 3x/57862931 TSD21 Buffer Stop 2STM cpl.2x</t>
  </si>
  <si>
    <t xml:space="preserve">DELTA - VO-01-2025-00000525 </t>
  </si>
  <si>
    <t>11803092 – ES5.1 - ALT-BRITZ 107, 12359 BERLIN - Control N-4 + 20 m</t>
  </si>
  <si>
    <t xml:space="preserve">N°1 je počet kusů - ANO /  ES1 </t>
  </si>
  <si>
    <t>odesláno k výběru kt. požadují - máme 2 typy - 22.4.2025 - Láďa výkresy</t>
  </si>
  <si>
    <t>dotaz na číslo switche odeslán 22.4.2025</t>
  </si>
  <si>
    <t>R guide rails</t>
  </si>
  <si>
    <t>SCS-X00415464-VS00</t>
  </si>
  <si>
    <t>13,65 / 5,72</t>
  </si>
  <si>
    <t>1+1</t>
  </si>
  <si>
    <t>S0PF56225805 / S0PF56225957</t>
  </si>
  <si>
    <t>S0PF56225813 / S0PF56225955</t>
  </si>
  <si>
    <t xml:space="preserve">11,07 / 6,33 </t>
  </si>
  <si>
    <t>our offer number  OFFER SO 24362</t>
  </si>
  <si>
    <t>SCS-X00415388-VS00</t>
  </si>
  <si>
    <t>100% M.</t>
  </si>
  <si>
    <t>ASZ0020123548</t>
  </si>
  <si>
    <t>VI-01-2025-00000920</t>
  </si>
  <si>
    <t>Marcel Boser</t>
  </si>
  <si>
    <t>Car Buffer / 20120718</t>
  </si>
  <si>
    <t>Comission-Nr.: 20120718</t>
  </si>
  <si>
    <t>marcel.boeser@schindler.com</t>
  </si>
  <si>
    <t>Sergio Gotor Blas</t>
  </si>
  <si>
    <t>Offer brackets type Z-AL2</t>
  </si>
  <si>
    <t>22,14/12,66</t>
  </si>
  <si>
    <t>14 ks brakety typ 7-AL2</t>
  </si>
  <si>
    <t>Björn Banse</t>
  </si>
  <si>
    <t xml:space="preserve">S01S5B964417	</t>
  </si>
  <si>
    <t>1x S01S5B964417  Safety switch Bernstein / Omron HLF cabl</t>
  </si>
  <si>
    <r>
      <t xml:space="preserve">S0PFAB201451 - Čistě switch je </t>
    </r>
    <r>
      <rPr>
        <sz val="10"/>
        <color rgb="FFFF0000"/>
        <rFont val="Calibri"/>
        <family val="2"/>
        <charset val="238"/>
        <scheme val="minor"/>
      </rPr>
      <t xml:space="preserve">S01S5B964417 </t>
    </r>
    <r>
      <rPr>
        <sz val="10"/>
        <rFont val="Calibri"/>
        <family val="2"/>
        <charset val="238"/>
        <scheme val="minor"/>
      </rPr>
      <t>s 8M kabelem. Pokud chtějí i žebřík (což v emailu nepožadují) jedná se o žebřík S0PF51973767. A nejedná se o ES5, ale o ES1 FYI.</t>
    </r>
  </si>
  <si>
    <t>14x S0PF56225739 Z-AL2 T75</t>
  </si>
  <si>
    <t>sergio.gotor@schindler.com</t>
  </si>
  <si>
    <t>SCS-U00415043-VS00</t>
  </si>
  <si>
    <t>59101777 </t>
  </si>
  <si>
    <t>NOT IN OUR SCOPE</t>
  </si>
  <si>
    <t>59001034? - COS FIX POINTS - ČÍSLO MATERIÁLU??</t>
  </si>
  <si>
    <t>SCS-X00418016-VS00</t>
  </si>
  <si>
    <t>DELTA</t>
  </si>
  <si>
    <t>Cezary Karol Konkol</t>
  </si>
  <si>
    <t>DELTA - VI-01-2025-00001082</t>
  </si>
  <si>
    <t>Additional Brackets - Inst.11843031 -</t>
  </si>
  <si>
    <t>Car side : 2 additional sets of “Z-CH9” / -	Counterweight side : 2 additional sets of “O-B H 1002 160 4”</t>
  </si>
  <si>
    <t>1x - S0PF50809689 ; 2x - S0PF56225804</t>
  </si>
  <si>
    <t>OUT OF SCOPE</t>
  </si>
  <si>
    <t>ES 5.0 (MARKET CLUSTER 5.0) - OUT OF SCOPE</t>
  </si>
  <si>
    <t>comission 11800410 VI-01-2025-00001091</t>
  </si>
  <si>
    <t>9207A1952793</t>
  </si>
  <si>
    <t>nakup.díl</t>
  </si>
  <si>
    <t>CHYBÍ SO NA FIX POINT (19.5.)</t>
  </si>
  <si>
    <t>50m kabelu</t>
  </si>
  <si>
    <t>gundula.glindemann@schindler.com; bjoern.banse@seznam.cz; gad.grumberg@schindler.com</t>
  </si>
  <si>
    <t xml:space="preserve">sent </t>
  </si>
  <si>
    <t>CHYBÍ SO NA SWITCH (19.5.)</t>
  </si>
  <si>
    <r>
      <t xml:space="preserve">8x navýšit 15M kabel o 15M (15+15=30M) </t>
    </r>
    <r>
      <rPr>
        <sz val="10"/>
        <color rgb="FFFF0000"/>
        <rFont val="Calibri"/>
        <family val="2"/>
        <charset val="238"/>
        <scheme val="minor"/>
      </rPr>
      <t>- číslo materiálu switche, kt. mám hledat v ceníku?</t>
    </r>
    <r>
      <rPr>
        <sz val="10"/>
        <rFont val="Calibri"/>
        <family val="2"/>
        <charset val="238"/>
        <scheme val="minor"/>
      </rPr>
      <t xml:space="preserve"> </t>
    </r>
    <r>
      <rPr>
        <b/>
        <sz val="10"/>
        <rFont val="Calibri"/>
        <family val="2"/>
        <charset val="238"/>
        <scheme val="minor"/>
      </rPr>
      <t>Kabel 920700000010</t>
    </r>
  </si>
  <si>
    <r>
      <t xml:space="preserve">8x navýšit 15M kabel o 35M (15+35=50M) - </t>
    </r>
    <r>
      <rPr>
        <b/>
        <sz val="10"/>
        <color rgb="FFFF0000"/>
        <rFont val="Calibri"/>
        <family val="2"/>
        <charset val="238"/>
        <scheme val="minor"/>
      </rPr>
      <t>číslo materiálu fix pointu, kt. mám hledat v ceníku?</t>
    </r>
    <r>
      <rPr>
        <b/>
        <sz val="10"/>
        <rFont val="Calibri"/>
        <family val="2"/>
        <charset val="238"/>
        <scheme val="minor"/>
      </rPr>
      <t xml:space="preserve"> Kabel 920700000010</t>
    </r>
  </si>
  <si>
    <r>
      <t>S0PF56226483 nebo S0PF56226484. Záleží jestli je rail T75 nebo T89 - Doptat zákazníka-</t>
    </r>
    <r>
      <rPr>
        <b/>
        <sz val="8"/>
        <rFont val="Calibri"/>
        <family val="2"/>
        <charset val="238"/>
        <scheme val="minor"/>
      </rPr>
      <t>We have guide for car type T75-3/B and for CWT H50</t>
    </r>
    <r>
      <rPr>
        <sz val="8"/>
        <rFont val="Calibri"/>
        <family val="2"/>
        <charset val="238"/>
        <scheme val="minor"/>
      </rPr>
      <t xml:space="preserve"> (ODPOVĚDĚLI 22.4.2025)</t>
    </r>
  </si>
  <si>
    <t>S0PF56226483</t>
  </si>
  <si>
    <t>COS Bracket sent / S0PFX7661050 / S0PFX1979578</t>
  </si>
  <si>
    <t>25.03.2025 / 19.5.2025</t>
  </si>
  <si>
    <t>SCS-X00418672-VS00</t>
  </si>
  <si>
    <t>20117388 VI-01-2025-00001141</t>
  </si>
  <si>
    <t>Alberto Brambila</t>
  </si>
  <si>
    <t>N°1 Z-AL1E for car guide T75-3/B / N°1 O-A1 L 850 106 1 for CWT guide H50</t>
  </si>
  <si>
    <t>Luca Lo Presti / Milun Durovic</t>
  </si>
  <si>
    <t>Comm. 11790303: Offer request for bracket upgrade to TSD21</t>
  </si>
  <si>
    <t>2 pcs. ID-Nr.: 57862934 TSD21 Buffer Stop = S0PF57862934	TSD21 BUFFER STOP 2STM CPL T75 HSK RIGHT</t>
  </si>
  <si>
    <t>S0PF57862934-TSD21 BUFFER STOP 2STM CPL T75 HSK RIGHT</t>
  </si>
  <si>
    <t>luca.lo.presti@schindler.com/milun.durovic@schindler.com</t>
  </si>
  <si>
    <t>16.5./22.05.2025</t>
  </si>
  <si>
    <t>56061258 - Oil cup f guide rail (square) or similar one ???</t>
  </si>
  <si>
    <t>20127316 VI-01-2025-00001188</t>
  </si>
  <si>
    <t>N°1 O-A2 L 1002 106 1 / N°1 Z-AL1</t>
  </si>
  <si>
    <t>cezary.karol.konkol@schindler.com</t>
  </si>
  <si>
    <t xml:space="preserve">bjoern.banse@schindler.com </t>
  </si>
  <si>
    <t>51952793 - Pit Ladder length 3800mm without fixation / brackets --- S0PFX1962488- Stand. Ladder - L=3800 ( Fixed)</t>
  </si>
  <si>
    <t>Commission-Nr.: 20120374</t>
  </si>
  <si>
    <t>price for cables - Let´s say for: 30, 35, 40, 45, 50, 60m?</t>
  </si>
  <si>
    <t>solved</t>
  </si>
  <si>
    <t>N°1 Z-AL1E for car guide T75-3/B   //  N°1 O-A1 L 850 106 1 for CWT guide H50</t>
  </si>
  <si>
    <t>prosím kontrolu č.mat:A1L O-A1 L 850 106 1 / Z7+</t>
  </si>
  <si>
    <t xml:space="preserve">N°2 A1L O-A1 L 850 106 1  / N°1 Z AL1 E </t>
  </si>
  <si>
    <t>11,62/4,27</t>
  </si>
  <si>
    <t>SCS-X00419002-VS02</t>
  </si>
  <si>
    <t>pulleys corresponding to CWT supplied from EME</t>
  </si>
  <si>
    <t xml:space="preserve">ENG.
SO vždy customer Schindler 1000000160 </t>
  </si>
  <si>
    <t>protezione anti deragliamento, protezione anti dragliamento per Staffa Led Omega</t>
  </si>
  <si>
    <r>
      <rPr>
        <sz val="8"/>
        <color theme="1"/>
        <rFont val="Arial"/>
        <family val="2"/>
        <charset val="238"/>
      </rPr>
      <t>Zamítnout.</t>
    </r>
    <r>
      <rPr>
        <b/>
        <sz val="11"/>
        <color theme="1"/>
        <rFont val="Arial"/>
        <family val="2"/>
        <charset val="238"/>
      </rPr>
      <t xml:space="preserve"> PS: Nepiš mi tvoje poznámky do mých sloupců!!!! Díky.</t>
    </r>
  </si>
  <si>
    <t>S5500 elevators are not in our scope.</t>
  </si>
  <si>
    <t>SCS-X00421570-VS00</t>
  </si>
  <si>
    <t>Project 11597493</t>
  </si>
  <si>
    <t>PIT Ladder + Pit Ladder contact) – as original deu0011597493</t>
  </si>
  <si>
    <t>Jozef Tulinsky &lt;jozef.tulinsky@schindler.com&gt;</t>
  </si>
  <si>
    <t>VI-01-2025-00001185 ŘIPSKÁ 702/28, PRAHA 3</t>
  </si>
  <si>
    <t xml:space="preserve">Replacement Omega brackets + L bracket </t>
  </si>
  <si>
    <t>URGENT</t>
  </si>
  <si>
    <t>Frédéric Neau / Ramiro</t>
  </si>
  <si>
    <t>1393 /2422,-</t>
  </si>
  <si>
    <t>11797338 - VO-01-2025-00001084</t>
  </si>
  <si>
    <t>11797340 - VO-01-2025-00001118</t>
  </si>
  <si>
    <t>11797337 - VO-01-2025-00001083</t>
  </si>
  <si>
    <t>Additional price per extra 1 meter = 0,67 EUR.</t>
  </si>
  <si>
    <t>Please, apply this to all future offers, altogether with SKU tariff price + administration costs (sales, production).</t>
  </si>
  <si>
    <t>59001034 FIX points + longer cables 2x60</t>
  </si>
  <si>
    <t>jozef.tulinsky@schindler.com</t>
  </si>
  <si>
    <t xml:space="preserve">S0PF56225943 / S0PF56225822 / S0PF56226114 </t>
  </si>
  <si>
    <t>9+1+1</t>
  </si>
  <si>
    <t>23,22/11,08/30,82</t>
  </si>
  <si>
    <t>cables / prices set up 20.5.2025</t>
  </si>
  <si>
    <t>S0PF56225805 / O-A1 L 850 106 1_T75_H50</t>
  </si>
  <si>
    <t>cos59001034 - request for general price offer of cables type KSS, KSSg in 5m steps, from 30-60m</t>
  </si>
  <si>
    <t>59000246 - COS Counterweight frame EU (EME) * pulleys corresponding to CWT supplied from EME</t>
  </si>
  <si>
    <t>S0PF51201450 or S0PF51975303 ? / 1 Pc ID 51972978 Foldable Ladder - L=3150mm</t>
  </si>
  <si>
    <t>COS 59001033 / CWT Frame with HGR=2500mm instead of 2800mm.</t>
  </si>
  <si>
    <t>1 Unit 57680534 Pit Ladder 4.0m Cpl. Foldable_STD  / S0PFX1962491 - Stingl Fold Ladder - L=4000mm</t>
  </si>
  <si>
    <t>S0PF57675216 - COS FIX Points 59001034 změna 2 kabelů z 15m na 40m</t>
  </si>
  <si>
    <t>S0PFX1973375/S0PFX1972896/S0PF57642303 / 8x 51973375  (O-B L 1400 190 1)/1x 51972896  (L-B L 160/190 1)/9x 57642303  (Z-CH8)</t>
  </si>
  <si>
    <t>COS 59001035 - vyřešeno emailem</t>
  </si>
  <si>
    <t>SCS-X00422195-VS00</t>
  </si>
  <si>
    <t>CWT - GG 41 1002 106 B 4 S SO / ID: 57850749 / HGR=2620mm/ GG:1406kg</t>
  </si>
  <si>
    <t>SCS-X00422485-VS00</t>
  </si>
  <si>
    <t>pit ladder</t>
  </si>
  <si>
    <t xml:space="preserve">Laszlo Csoma </t>
  </si>
  <si>
    <t>laszlo.csoma@schindler.com</t>
  </si>
  <si>
    <t>Comm. no.: SCH0020128795 / 20128795</t>
  </si>
  <si>
    <t xml:space="preserve">COS Brackets 20128795 - full COS 59001035 </t>
  </si>
  <si>
    <t>COS FIX POINTS</t>
  </si>
  <si>
    <t>03.04.2025/ 11.4.2025 updated 9.6.2025</t>
  </si>
  <si>
    <t>SCS-X00421816-VS00</t>
  </si>
  <si>
    <t>PAR0011802514</t>
  </si>
  <si>
    <t>Gundula Glindemann</t>
  </si>
  <si>
    <t>VO-01-2025-00001172</t>
  </si>
  <si>
    <t>2x50m cables AS Inq. 11828278</t>
  </si>
  <si>
    <t>1xS0PF50809689;  1xS0PF56225804</t>
  </si>
  <si>
    <t>Stačí jim pouze holý kabel bez switche?</t>
  </si>
  <si>
    <r>
      <rPr>
        <b/>
        <sz val="10"/>
        <rFont val="Arial"/>
        <family val="2"/>
        <charset val="238"/>
      </rPr>
      <t>59001034 FIX point</t>
    </r>
    <r>
      <rPr>
        <sz val="10"/>
        <rFont val="Arial"/>
        <family val="2"/>
        <charset val="238"/>
      </rPr>
      <t>s + longer cables 2x60 --- nabídnuty jen kabely 2x60m</t>
    </r>
  </si>
  <si>
    <r>
      <rPr>
        <b/>
        <sz val="10"/>
        <rFont val="Arial"/>
        <family val="2"/>
        <charset val="238"/>
      </rPr>
      <t>59001034 FIX point</t>
    </r>
    <r>
      <rPr>
        <sz val="10"/>
        <rFont val="Arial"/>
        <family val="2"/>
        <charset val="238"/>
      </rPr>
      <t>s + longer cables 2x60 --- nabídnuty jen kabely 2x60m bez switche</t>
    </r>
  </si>
  <si>
    <t>159 / 158,70</t>
  </si>
  <si>
    <t>2*60m</t>
  </si>
  <si>
    <t>Delta VO-01-2025-00000782 -updated 11.6. till 30.6.</t>
  </si>
  <si>
    <t>19.05.2025 / 11.6.2025</t>
  </si>
  <si>
    <t>!!</t>
  </si>
  <si>
    <t>Björn Banse, Sebastian Staroske</t>
  </si>
  <si>
    <t xml:space="preserve">DELTA VO-01-2025-00001182 Cable KSS, KSSG 35 m - control set to N-0 + 5 m </t>
  </si>
  <si>
    <t>Commission: 20130692 – AUFZUG EIßENDORFER STR. 38- Control N-0 + 5 m</t>
  </si>
  <si>
    <t>Saadelidin Fawzi</t>
  </si>
  <si>
    <t>DELTA - VI-01-2025-00001311 - Dr. Soliman Fakeeh Hospital</t>
  </si>
  <si>
    <t>4,27/11,62</t>
  </si>
  <si>
    <t>ADD INFO</t>
  </si>
  <si>
    <t>1x S0PF56226483; 1xS0PF56225829</t>
  </si>
  <si>
    <t>car t75-3/B ; CWT H75-1</t>
  </si>
  <si>
    <t>chceš so?</t>
  </si>
  <si>
    <t>ES 5.0 = OUT OF SCOPE (VŠECHNY COSY JSOU ES 5.0)</t>
  </si>
  <si>
    <t>původní 20206</t>
  </si>
  <si>
    <t>S0PF51975302</t>
  </si>
  <si>
    <t>19.05.2025 / 18.6.2025</t>
  </si>
  <si>
    <t>saadeldin.fawzi@schindler.com</t>
  </si>
  <si>
    <t>HGR blbe, psal jsem Jesúsovi sám. Čekám na odpověď - DÍKY</t>
  </si>
  <si>
    <t>1x 9207A1952793 Ladder L=3800</t>
  </si>
  <si>
    <t>191,6 / 220,90</t>
  </si>
  <si>
    <t>113,3/ 142,60</t>
  </si>
  <si>
    <t>16.05.2025 / 18.6.2025</t>
  </si>
  <si>
    <t>SCS-X00423227-VS00</t>
  </si>
  <si>
    <t>DEU0020125121</t>
  </si>
  <si>
    <t xml:space="preserve">2 PCS DLE OBRÁZKU </t>
  </si>
  <si>
    <t>50998BN13194 / 920751965737</t>
  </si>
  <si>
    <t>2+4</t>
  </si>
  <si>
    <t>price 1 pc / EUR</t>
  </si>
  <si>
    <t xml:space="preserve">Thomas Mivelaz </t>
  </si>
  <si>
    <t>thomas.mivelaz@schindler.com</t>
  </si>
  <si>
    <t>7x TZ-bracket id 57851171 / •	7x Z-CL4 backet id 57642330</t>
  </si>
  <si>
    <t>Comm. 11827079 : Offer request</t>
  </si>
  <si>
    <t>7+7</t>
  </si>
  <si>
    <t>53,10 / 8,74</t>
  </si>
  <si>
    <t>511,18 / 512</t>
  </si>
  <si>
    <t>1254,46 / 1255</t>
  </si>
  <si>
    <t>4546302637; 4546302678</t>
  </si>
  <si>
    <t>4546302679; 4546302680; 4546302649</t>
  </si>
  <si>
    <t>Kočkopes</t>
  </si>
  <si>
    <t>ES5.1.</t>
  </si>
  <si>
    <t>DEU0011766352</t>
  </si>
  <si>
    <t>COS for CWT and fix point 2-	Car fixpoint assembly height to be reduced by 100 mm, as shown in the attached screenshot / VI-01-2025-00001311SAC</t>
  </si>
  <si>
    <t>S6000 =&gt; SAC Mech components - CC Gran Via 2 - Barcelona</t>
  </si>
  <si>
    <t>Ángel Luis Gea Villanueva</t>
  </si>
  <si>
    <t>SCS-X00424627-VS00</t>
  </si>
  <si>
    <t>4546292841 - 640481478 - SCH0011825450</t>
  </si>
  <si>
    <t>SCS-X00424136-VS00</t>
  </si>
  <si>
    <t>2x 45331616 -Z-Bügel AL4 = S0PF56225956 - Z-AL4</t>
  </si>
  <si>
    <t>ALL buffers with corresponding supports,  for car and CWT.</t>
  </si>
  <si>
    <t>113,3 / 142,6 updated - black</t>
  </si>
  <si>
    <r>
      <t xml:space="preserve">9207A1952793 Ladder L=3800 - </t>
    </r>
    <r>
      <rPr>
        <sz val="12"/>
        <rFont val="Calibri"/>
        <family val="2"/>
        <charset val="238"/>
        <scheme val="minor"/>
      </rPr>
      <t>černý lak</t>
    </r>
  </si>
  <si>
    <t>1x 920351973767 Escalera CMG. L =2400 / 1x S0PFAB201451 Kit rung ladder.Bernstein/Omron switch</t>
  </si>
  <si>
    <t>73,49 / 29,97</t>
  </si>
  <si>
    <t>179,76 / 180</t>
  </si>
  <si>
    <t xml:space="preserve">4545314662 - 23776 </t>
  </si>
  <si>
    <t>new No. Order B2B portal for production</t>
  </si>
  <si>
    <t>145,99 / 146,-</t>
  </si>
  <si>
    <t>SCS-X00425218-VS00</t>
  </si>
  <si>
    <t>DEU0011702972</t>
  </si>
  <si>
    <t>Peklíčko - Dopočítat ceny</t>
  </si>
  <si>
    <t>SCS-X00425358-VS00</t>
  </si>
  <si>
    <t>ladder L=2600 mm with contact in the pit as originally delivered</t>
  </si>
  <si>
    <t>? Našla jsem v pův. obj. mat S0PF56226484 a S0PF56225857. Je to ok?</t>
  </si>
  <si>
    <t>S0PF56226484 a S0PF56225857</t>
  </si>
  <si>
    <t>Pascual.izaguerri@schindler.com</t>
  </si>
  <si>
    <t>5,31 / 26,89</t>
  </si>
  <si>
    <t>SCS-X00425566-VS00</t>
  </si>
  <si>
    <t>S0PF56225771 - 5x</t>
  </si>
  <si>
    <t>S0PF56225771 - Z-CH2 T75</t>
  </si>
  <si>
    <t>117,95 / 118</t>
  </si>
  <si>
    <t xml:space="preserve">PAR0011827827 </t>
  </si>
  <si>
    <t xml:space="preserve">VO-01-2025-00001154 </t>
  </si>
  <si>
    <t xml:space="preserve">DELTA </t>
  </si>
  <si>
    <t>FIX Points 59001034</t>
  </si>
  <si>
    <t>SCS-X00424471-VS00</t>
  </si>
  <si>
    <t>2+2</t>
  </si>
  <si>
    <t>2x S0PF56225956 - Z-AL4 + 2x S0PFX1972071</t>
  </si>
  <si>
    <t>5,44 / 55,63</t>
  </si>
  <si>
    <t>additional brackets: 2x Z-bracket Z-AL4 - ES1 + 2x Omega-Bracket O-B L 1002 190 1 - ES5</t>
  </si>
  <si>
    <t>200,44 / 201</t>
  </si>
  <si>
    <t>ETA</t>
  </si>
  <si>
    <t>Additional material (BRA0011852449) - SCS-X00424471-VS00 - ETA-289762</t>
  </si>
  <si>
    <t>303566762 =&gt; ES5.1 =&gt; S6000 =&gt; SAC Mech components - Av. Fernão Magalhães 127, Porto</t>
  </si>
  <si>
    <t>1x 9203A1952794; 1x S01SX1952KIT</t>
  </si>
  <si>
    <t>11.6.2025/26.6.2025</t>
  </si>
  <si>
    <t>DEU0011799054</t>
  </si>
  <si>
    <t>SCS-X00423240-VS00</t>
  </si>
  <si>
    <t>SCS-X00425964-VS00</t>
  </si>
  <si>
    <t xml:space="preserve">2x S0PF50807727 </t>
  </si>
  <si>
    <t>UKC0011837813 /  ETA-290857</t>
  </si>
  <si>
    <t>2x S0PF50807727</t>
  </si>
  <si>
    <t>MEX0020111124</t>
  </si>
  <si>
    <t>SCS-X00424675-VS00</t>
  </si>
  <si>
    <t>UKC0011741121</t>
  </si>
  <si>
    <t>all kit PULLEYS corresponding to CWT supplied</t>
  </si>
  <si>
    <t>VI-01-2025-00001545</t>
  </si>
  <si>
    <t>commission 20125828 VI-01-2025-00001545</t>
  </si>
  <si>
    <t>The total length is 55 m, please offer 2 x 55 m of KSS cable. PROVĚŘIT Č. MATERIÁLU - FIX POINTS A SWITCHE - EMAIL 3.7.2025</t>
  </si>
  <si>
    <t>18.06.2025-R/ 3.7.2025</t>
  </si>
  <si>
    <t>2 KABELY</t>
  </si>
  <si>
    <t>2+2+2+2+2+2</t>
  </si>
  <si>
    <r>
      <t xml:space="preserve">1 Pc GG 41 1002 106 B 4 S SO ID: 57850749 </t>
    </r>
    <r>
      <rPr>
        <b/>
        <sz val="11"/>
        <color theme="1"/>
        <rFont val="Calibri"/>
        <family val="2"/>
        <charset val="238"/>
        <scheme val="minor"/>
      </rPr>
      <t xml:space="preserve">ČEKÁME NA ODPOVĚĎ ZÁKAZNÍKA, JESÚS </t>
    </r>
  </si>
  <si>
    <t>400574230-CW frame</t>
  </si>
  <si>
    <t>Ana Maria Marco Laudo</t>
  </si>
  <si>
    <t>223 / 398</t>
  </si>
  <si>
    <t>S0PFB1986108+S0PF50807726+S0PF59100854+S0PF59100855+S0PF57675216 + 2x 55m dlouhý kabel</t>
  </si>
  <si>
    <t>VO-01-2025-00001154 - zpracovat co nejdříve, VO-01-2025-00001155 - rejected</t>
  </si>
  <si>
    <t>290445 / BRU0020117923 - žebříky</t>
  </si>
  <si>
    <t>S0PF56225617</t>
  </si>
  <si>
    <t>149,79 / 150</t>
  </si>
  <si>
    <t>27092 / 27093</t>
  </si>
  <si>
    <t>PAR0011827825 + PAR0011827827</t>
  </si>
  <si>
    <t>Brackets, CWT Frame</t>
  </si>
  <si>
    <t xml:space="preserve">26983 (original bez úprav) </t>
  </si>
  <si>
    <t>Frederic Neau</t>
  </si>
  <si>
    <t>SCS-X00426058-VS00</t>
  </si>
  <si>
    <t>51973922 - 1x</t>
  </si>
  <si>
    <t xml:space="preserve">Pit Set (COS 59001045) =&gt; Extracost for the modification </t>
  </si>
  <si>
    <t xml:space="preserve">COS 59001045 </t>
  </si>
  <si>
    <t>COS 59001046 / COS 59001033</t>
  </si>
  <si>
    <t>S01S51973922</t>
  </si>
  <si>
    <t>SCS-X00426498-VS00</t>
  </si>
  <si>
    <t xml:space="preserve">Pit Ladder 51964473 </t>
  </si>
  <si>
    <t>DUB0011813273</t>
  </si>
  <si>
    <t>M</t>
  </si>
  <si>
    <t>S0PFX1964473</t>
  </si>
  <si>
    <t xml:space="preserve">Adrian Dörig / Isaac Herraiz </t>
  </si>
  <si>
    <t>zprac.do 15.7.</t>
  </si>
  <si>
    <t>adrian.doerig@schindler.com / isaac.herraiz@schindler.com</t>
  </si>
  <si>
    <t xml:space="preserve">ana.marco@schindler.com </t>
  </si>
  <si>
    <t>20132160 - Market Cluster 5.0 nedodáváme my.</t>
  </si>
  <si>
    <t>VI-01-2025-00009410</t>
  </si>
  <si>
    <r>
      <rPr>
        <b/>
        <sz val="9"/>
        <rFont val="Arial"/>
        <family val="2"/>
        <charset val="238"/>
      </rPr>
      <t>ČEKÁME NA ODPOVĚĎ ZÁKAZNÍKA</t>
    </r>
    <r>
      <rPr>
        <sz val="9"/>
        <rFont val="Arial"/>
        <family val="2"/>
        <charset val="238"/>
      </rPr>
      <t>, POTÉ JESÚS POŠLE NOVÉ INFO</t>
    </r>
  </si>
  <si>
    <t>alberto.brambilla@schindler.com / silvia.giangrande@schindler.com</t>
  </si>
  <si>
    <t>COS Pit Set 59001045</t>
  </si>
  <si>
    <t>4,33+14,84</t>
  </si>
  <si>
    <t xml:space="preserve">Esther Arrieta Salas </t>
  </si>
  <si>
    <t>SCS-X00424971-VS00</t>
  </si>
  <si>
    <t xml:space="preserve">Project MÄDERGUTSTRASSE 23, 3018 BERN </t>
  </si>
  <si>
    <t>GGM2 as per attached COS? We’re not sure if you’re the right supplier.</t>
  </si>
  <si>
    <t>ETOR_20111124_1 =&gt; NFS CENTRO</t>
  </si>
  <si>
    <t>786,33+221,71</t>
  </si>
  <si>
    <t>SCS-X00427038-VS00</t>
  </si>
  <si>
    <t>Project Culture House - UKC0011825459</t>
  </si>
  <si>
    <t>SCS-X00425925-VS00</t>
  </si>
  <si>
    <t>Requirement price Tension Weight OSG</t>
  </si>
  <si>
    <t>neuplné info od zákazníka</t>
  </si>
  <si>
    <t>N°2 bracket Z-AL1E for guide T89LH + fishplate / N°2 bracket O-A2L 1002 106 1 for giuide T89_H75/T75 + fishplate</t>
  </si>
  <si>
    <t>9203A1952794 / S01SX1952KIT</t>
  </si>
  <si>
    <t xml:space="preserve"> </t>
  </si>
  <si>
    <t>SCS-X00426379-VS00</t>
  </si>
  <si>
    <t>1 Unit STINGLE FOLDABLE LADDER L=4000 IDENTIFICATION NUMBER 51962491</t>
  </si>
  <si>
    <t>SCS-X00428196-VS00</t>
  </si>
  <si>
    <r>
      <t>COS Pit Set 59001045</t>
    </r>
    <r>
      <rPr>
        <sz val="10"/>
        <color theme="1"/>
        <rFont val="Arial"/>
        <family val="2"/>
        <charset val="238"/>
      </rPr>
      <t xml:space="preserve"> </t>
    </r>
  </si>
  <si>
    <t>SCS-X00428194-VS00</t>
  </si>
  <si>
    <t>Project Subbelrather Straße, Köln - DEU0011732194</t>
  </si>
  <si>
    <t>Project Subbelrather Straße, Köln - DEU0011732196</t>
  </si>
  <si>
    <t>SCS-X00428193-VS00</t>
  </si>
  <si>
    <t>Project Subbelrather Straße, Köln - DEU0011732187</t>
  </si>
  <si>
    <t>SCS-X00428136-VS00</t>
  </si>
  <si>
    <t>Project Pit set for GG - DEU0011786852</t>
  </si>
  <si>
    <t>PROTOTYPE PARTS - KEVIN - SMALL PULLEY BOX</t>
  </si>
  <si>
    <t>SCS-X00428460-VS00</t>
  </si>
  <si>
    <t>S0PFX1962491 Stingl Fold Ladder - L=4000mm</t>
  </si>
  <si>
    <t>VI-01-2025-00001617</t>
  </si>
  <si>
    <t>Tension device safety switch in IP67</t>
  </si>
  <si>
    <t>lucas.fernandez.gonzalez@schindler.com</t>
  </si>
  <si>
    <t xml:space="preserve">Lucas Fernandez Gonzalez </t>
  </si>
  <si>
    <t>1+1+2</t>
  </si>
  <si>
    <t>16,32+11,73+1,83</t>
  </si>
  <si>
    <t>S0PF51201323+S0PF51201322+2xS0PF52513990</t>
  </si>
  <si>
    <t>S0PF49110157</t>
  </si>
  <si>
    <t xml:space="preserve">SALSIS AC GSI 200 M. Sens. 2FS in IP67 </t>
  </si>
  <si>
    <t>SCS-X00428768-VS00</t>
  </si>
  <si>
    <t>2 off steel car buffer ID0068VE Vendor IDSFD00004VE</t>
  </si>
  <si>
    <t>UKC0011834006</t>
  </si>
  <si>
    <t>Original SO 14891</t>
  </si>
  <si>
    <t>Original SO 14930</t>
  </si>
  <si>
    <t>Original SO 14951</t>
  </si>
  <si>
    <t>K</t>
  </si>
  <si>
    <t>413,62 / 414,-</t>
  </si>
  <si>
    <t>429,-</t>
  </si>
  <si>
    <t>sent by Kev</t>
  </si>
  <si>
    <t>VI-01-2025-00001658</t>
  </si>
  <si>
    <t>commission 11858866</t>
  </si>
  <si>
    <t>N°3 bracket Z-AL1 for guide T75-3/B + fishplate / N°3 bracket O-A1 L 1002 106 3 for guide H50 + fishplate</t>
  </si>
  <si>
    <r>
      <rPr>
        <u/>
        <sz val="10"/>
        <rFont val="Calibri"/>
        <family val="2"/>
        <charset val="238"/>
        <scheme val="minor"/>
      </rPr>
      <t>CAR buffer plinth</t>
    </r>
    <r>
      <rPr>
        <sz val="10"/>
        <rFont val="Calibri"/>
        <family val="2"/>
        <charset val="238"/>
        <scheme val="minor"/>
      </rPr>
      <t xml:space="preserve">
2x S0PF49110157 - St_Buf_D0D2_400L4401L4_HSS1-700_LFKP82
PPU = 43,3 EUR
</t>
    </r>
    <r>
      <rPr>
        <u/>
        <sz val="10"/>
        <rFont val="Calibri"/>
        <family val="2"/>
        <charset val="238"/>
        <scheme val="minor"/>
      </rPr>
      <t>CWT buffer plinth</t>
    </r>
    <r>
      <rPr>
        <sz val="10"/>
        <rFont val="Calibri"/>
        <family val="2"/>
        <charset val="238"/>
        <scheme val="minor"/>
      </rPr>
      <t xml:space="preserve">
1x S0PF49110116 - RSP_1000_PDNO_HSS2_167_ZPG2_D0D2_400L4
PPU = 25,05 EUR</t>
    </r>
  </si>
  <si>
    <t>?</t>
  </si>
  <si>
    <t>2x S0PF49110236 - St_Buf_D0D2_HSS1-1100_LFKP82 T75
PPU = 41,81 EUR</t>
  </si>
  <si>
    <t>1. Additional price of the safety switch in IP67 = 2,25 EUR
2. SALSIS AC GSI 200 M. Sens 2FS in IP67 = out of our scope -&gt; we cannot offer</t>
  </si>
  <si>
    <t>VI-01-2025-00001596</t>
  </si>
  <si>
    <t>2+1</t>
  </si>
  <si>
    <t>43,30+25,05</t>
  </si>
  <si>
    <t xml:space="preserve">2x S0PF49110157  + 1x S0PF49110116 </t>
  </si>
  <si>
    <t>S0PF49110236</t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</si>
  <si>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3x S0PF56226483 - PAL Z AL 1-13 CL 1-13 T75
PPU = 4,33 EUR/pc
2x S0PF56303684 - Pair fishplates guide T75-3/B w screws
PPU = 7,51 EUR/pc
</t>
    </r>
    <r>
      <rPr>
        <u/>
        <sz val="10"/>
        <rFont val="Calibri"/>
        <family val="2"/>
        <charset val="238"/>
        <scheme val="minor"/>
      </rPr>
      <t>CWT GUIDES:</t>
    </r>
    <r>
      <rPr>
        <sz val="10"/>
        <rFont val="Calibri"/>
        <family val="2"/>
        <charset val="238"/>
        <scheme val="minor"/>
      </rPr>
      <t xml:space="preserve">
3x S0PF56225801 - O-A1 L 1002 106 3_T75_H50
PPU = 13,83 EUR/pc
For ES1, we don't supply fishplates for H50, but only hardware:
2x S0PF56303719 - FISHPLATE H50 HARDWARE BAG
PPU = 0,47 EUR/pc</t>
    </r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</si>
  <si>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2x S0PF50809689 - Z-AL1E T75 or T89LH
PPU = 4,4 EUR/pc
1x S0PF50810328 - PAIR OF FISHPLATES T89/B THK.13 M12
PPU = 20,03 EUR/pc
</t>
    </r>
    <r>
      <rPr>
        <u/>
        <sz val="10"/>
        <rFont val="Calibri"/>
        <family val="2"/>
        <charset val="238"/>
        <scheme val="minor"/>
      </rPr>
      <t xml:space="preserve">CWT GUIDES:
</t>
    </r>
    <r>
      <rPr>
        <sz val="10"/>
        <rFont val="Calibri"/>
        <family val="2"/>
        <charset val="238"/>
        <scheme val="minor"/>
      </rPr>
      <t>2x S0PF56225830 - O-A2 L 1002 106 1_T89_H75/T75
PPU = 16,12 EUR/pc</t>
    </r>
    <r>
      <rPr>
        <u/>
        <sz val="10"/>
        <rFont val="Calibri"/>
        <family val="2"/>
        <charset val="238"/>
        <scheme val="minor"/>
      </rPr>
      <t xml:space="preserve">
</t>
    </r>
    <r>
      <rPr>
        <sz val="10"/>
        <rFont val="Calibri"/>
        <family val="2"/>
        <charset val="238"/>
        <scheme val="minor"/>
      </rPr>
      <t>For ES1, we don't supply fishplates for H75, but only hardware:</t>
    </r>
    <r>
      <rPr>
        <u/>
        <sz val="10"/>
        <rFont val="Calibri"/>
        <family val="2"/>
        <charset val="238"/>
        <scheme val="minor"/>
      </rPr>
      <t xml:space="preserve">
</t>
    </r>
    <r>
      <rPr>
        <sz val="10"/>
        <rFont val="Calibri"/>
        <family val="2"/>
        <charset val="238"/>
        <scheme val="minor"/>
      </rPr>
      <t>1x S0PF51200878 - FISHPLATE H75 HARDWARE BAG
PPU = 0,68 EUR/pc</t>
    </r>
  </si>
  <si>
    <t>107 / 111</t>
  </si>
  <si>
    <t>106/121</t>
  </si>
  <si>
    <t xml:space="preserve">Jozef Tulinsky </t>
  </si>
  <si>
    <t>VI-01-2025-00001739</t>
  </si>
  <si>
    <t>Husitská 16832 Most Kojenecký ústav (20127491) - omega brackets</t>
  </si>
  <si>
    <t>omega console – O-B L 1400 190 2.</t>
  </si>
  <si>
    <t>9x S0PFX1973376 - O-B Bracket L BG1400 TG190 2</t>
  </si>
  <si>
    <t>818,46 / 819,-</t>
  </si>
  <si>
    <t>randy.balde@schindler.com</t>
  </si>
  <si>
    <t>Randy Balde</t>
  </si>
  <si>
    <t>AUH24-253</t>
  </si>
  <si>
    <t>AUH24-253-Riyad Police Station P75</t>
  </si>
  <si>
    <t>11pcs x Z-E12 Brackets</t>
  </si>
  <si>
    <t>11x S0PFX7646435    Z-EL12</t>
  </si>
  <si>
    <t xml:space="preserve">Isaac Herraiz </t>
  </si>
  <si>
    <t>Update Offer OF-202400689</t>
  </si>
  <si>
    <t>1x S0PFX1972535 = 25,13 EUR/pc
5x S0PFX1973376 = 82,24 EUR/pc
1x S0PFX1973375 = 63,05 EUR/pc</t>
  </si>
  <si>
    <t>isaac.herraiz@schindler.com</t>
  </si>
  <si>
    <t>578,-</t>
  </si>
  <si>
    <t>VI-01-2025-00001785</t>
  </si>
  <si>
    <t>commission 20098497</t>
  </si>
  <si>
    <t>N°2 omega brackets O-A1 L 708/732 106 1 with relative fishplate for guide H50 
N°2 Z brackets Z-AL1E with relative fishplate for guide T75 3/B</t>
  </si>
  <si>
    <t xml:space="preserve">SCS-X00430990-VS00 </t>
  </si>
  <si>
    <t xml:space="preserve">SCS-X00430991-VS00 </t>
  </si>
  <si>
    <t xml:space="preserve">SCS-X00430983-VS00 </t>
  </si>
  <si>
    <r>
      <t xml:space="preserve">51940786 - Articulable stand. Ladder - L=2600 -   </t>
    </r>
    <r>
      <rPr>
        <b/>
        <sz val="12"/>
        <color theme="1"/>
        <rFont val="Aptos"/>
        <family val="2"/>
      </rPr>
      <t>COLOR: RAL9011, 40% GLOSS</t>
    </r>
  </si>
  <si>
    <r>
      <t>51940743- Articulable stand. Ladder - L=3200 -</t>
    </r>
    <r>
      <rPr>
        <b/>
        <sz val="12"/>
        <color theme="1"/>
        <rFont val="Aptos"/>
        <family val="2"/>
      </rPr>
      <t xml:space="preserve"> COLOR: RAL9011, 40% GLOSS</t>
    </r>
    <r>
      <rPr>
        <sz val="12"/>
        <color theme="1"/>
        <rFont val="Aptos"/>
        <family val="2"/>
      </rPr>
      <t xml:space="preserve"> - celkem 4 ks / 4 projekty</t>
    </r>
  </si>
  <si>
    <r>
      <t xml:space="preserve">51940786 - Articulable stand. Ladder - L=2600 -   </t>
    </r>
    <r>
      <rPr>
        <b/>
        <sz val="12"/>
        <color theme="1"/>
        <rFont val="Aptos"/>
        <family val="2"/>
      </rPr>
      <t>COLOR: RAL9011, 40% GLOSS</t>
    </r>
    <r>
      <rPr>
        <sz val="12"/>
        <color theme="1"/>
        <rFont val="Aptos"/>
        <family val="2"/>
      </rPr>
      <t xml:space="preserve"> - celkem 12ks / 12 projektů</t>
    </r>
  </si>
  <si>
    <t>18.07.2025 / 6.8.2025</t>
  </si>
  <si>
    <r>
      <t xml:space="preserve">1x 56226266 </t>
    </r>
    <r>
      <rPr>
        <sz val="8"/>
        <rFont val="Calibri"/>
        <family val="2"/>
        <charset val="238"/>
        <scheme val="minor"/>
      </rPr>
      <t>RS 880 H50 LH HSS2 144 ZPG1</t>
    </r>
  </si>
  <si>
    <t>Update ceny z minulého roku - nabídka řádek 70 - S0PFX1972535 - 24,62 / S0PFX1973376 - 80,48 / S0PFX1973375 - 61,35</t>
  </si>
  <si>
    <t>565,35 / 565,40</t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</si>
  <si>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2x S0PF50809689 - Z-AL1E T75 or T89LH = 4,4 EUR/pc
1x S0PF56303684 - Pair fishplates guide T75-3/B w screws = 7,51 EUR/pc
</t>
    </r>
    <r>
      <rPr>
        <u/>
        <sz val="10"/>
        <rFont val="Calibri"/>
        <family val="2"/>
        <charset val="238"/>
        <scheme val="minor"/>
      </rPr>
      <t>CWT GUIDES:</t>
    </r>
    <r>
      <rPr>
        <sz val="10"/>
        <rFont val="Calibri"/>
        <family val="2"/>
        <charset val="238"/>
        <scheme val="minor"/>
      </rPr>
      <t xml:space="preserve">
2x S0PF56225813 - O-A1 L 708/732 106 1_T75_H50 = 11,39 EUR/pc
For ES1, we don't supply fishplates for H50, but only hardware:
2x S0PF56303719 - FISHPLATE H50 HARDWARE BAG = 0,47 EUR/pc</t>
    </r>
  </si>
  <si>
    <t>04.07.2025 / 14.8.2025</t>
  </si>
  <si>
    <t>1 x 51962493 Stingl Ladder with var. support - L=3400</t>
  </si>
  <si>
    <t>SCS-X00433053-VS00</t>
  </si>
  <si>
    <t xml:space="preserve">MIL0020124248 </t>
  </si>
  <si>
    <t>ALX D3 AUFZÜGE _ A11 Lift 11863091 FWA Brackets change offer request</t>
  </si>
  <si>
    <t>S0PFX1962493</t>
  </si>
  <si>
    <t>1 KS</t>
  </si>
  <si>
    <t>512,57 / 513</t>
  </si>
  <si>
    <t>SCS-X00433100-VS00</t>
  </si>
  <si>
    <t>2 pcs. Z-Bracket Z-AL2, ID 57632055</t>
  </si>
  <si>
    <t>640492122 / DEU0020132887</t>
  </si>
  <si>
    <t>2 KS</t>
  </si>
  <si>
    <t xml:space="preserve">S0PF56225739     + S0PF56225740    </t>
  </si>
  <si>
    <t>SCS-X00433493-VS00</t>
  </si>
  <si>
    <t>DEU0011828286</t>
  </si>
  <si>
    <t>S0PF51940743 - Articulable stand. Ladder - L=3200
Speciální povrchová úprava žebříku 9203A1952794 = COLOR: RAL9011, 40% GLOSS
Delta price (extra) = 120,1 EUR + poplatky / ks</t>
  </si>
  <si>
    <t>S0PF51940786 - Articulable stand. Ladder - L=2600
Speciální povrchová úprava žebříku 9207A1942612 = COLOR: RAL9011, 40% GLOSS
Delta price (extra) = 97,65 + poplatky / ks</t>
  </si>
  <si>
    <t>Lionel Constantin</t>
  </si>
  <si>
    <t>URGENT  //  PAR0011802514- OSMOSE T2 Strasbourg</t>
  </si>
  <si>
    <t>SCS-X00431609-VS00</t>
  </si>
  <si>
    <t>Project OTO srl Trento - MIL0011806008</t>
  </si>
  <si>
    <r>
      <t>Kit Fall Protection</t>
    </r>
    <r>
      <rPr>
        <sz val="10"/>
        <color theme="1"/>
        <rFont val="Arial"/>
        <family val="2"/>
        <charset val="238"/>
      </rPr>
      <t xml:space="preserve"> </t>
    </r>
  </si>
  <si>
    <r>
      <t xml:space="preserve">PAR0011802514 a new offer with 18 ident 57660986  </t>
    </r>
    <r>
      <rPr>
        <sz val="11"/>
        <color rgb="FF000000"/>
        <rFont val="Calibri"/>
        <family val="2"/>
        <charset val="238"/>
        <scheme val="minor"/>
      </rPr>
      <t>(Z-SH6) please</t>
    </r>
  </si>
  <si>
    <t>SCS-X00433765-VS00</t>
  </si>
  <si>
    <t xml:space="preserve"> SCS-X00432893-VS00</t>
  </si>
  <si>
    <t>Offer for Replacement material (DES0011856396)</t>
  </si>
  <si>
    <t>lionel.constantin@schindler.com</t>
  </si>
  <si>
    <t>FTO - 4547049781 - 640493337 / ASZ0011827080</t>
  </si>
  <si>
    <t>7x S0PF57851171 TZ-CL3 Bracket cpl. / 7x S0PF57642330 Z-CL4</t>
  </si>
  <si>
    <t xml:space="preserve">1 unit of Ident. Nr. 57646352 – Z Bracket - Z-EL3; and
1 unit of Ident. Nr. 51971301 – Omega Bracket - O-B L 1400 160 </t>
  </si>
  <si>
    <t>1x S0PFX7646352 Z-EL3 = 8,65 EUR/pc
1x S0PFX1971301 O-B Bracket L BG1400 TG160 1 = 62,17 EUR/pc</t>
  </si>
  <si>
    <t>18x S0PFX7660986 Z-SH6 = 35 EUR/pc</t>
  </si>
  <si>
    <t>1x S0PF50807728 SALSIS support assembly_TK ≥ 1300 = 4x05 EUR/pc
1x S0PFX9348350 Tension device MM TD203 guide = 65,78 EUR/pc
1x S0PF50809668 Screw set kit GBP = 14,44 EUR/pc
2x S0PF52513990 = Weight block GBP tension device kit = 1,83 EUR/pc</t>
  </si>
  <si>
    <t>.</t>
  </si>
  <si>
    <t>182,18/183</t>
  </si>
  <si>
    <t xml:space="preserve">S0PFX7660986 </t>
  </si>
  <si>
    <t xml:space="preserve">18 ks </t>
  </si>
  <si>
    <t>ČEKÁME NA VYJÁDŘENÍ ZÁKAZNÍKA</t>
  </si>
  <si>
    <t>SCS-X00432889-VS00</t>
  </si>
  <si>
    <t>Project LARSLUNDA SIMHALL HISS 1  - DES0011856396 / SCS-X00432889-VS00</t>
  </si>
  <si>
    <t>2pcs 51943850 Buffer plate? Více info viz email</t>
  </si>
  <si>
    <t>2x S0PFB1943850 Buffer plate assembly (TG190) = 61,57 EUR/pc</t>
  </si>
  <si>
    <t>2x S0PFB1943850</t>
  </si>
  <si>
    <t>Jozef Tulinský</t>
  </si>
  <si>
    <t>VI-01-2025-00001905 - 814063614</t>
  </si>
  <si>
    <t xml:space="preserve">1x51973857 L-B L 106 2, (81-171mm);
8x51973814 O-A1 L 850 106 3 (93-173mm) </t>
  </si>
  <si>
    <t>VI-01-2025-00001905 - 814063614 (20127849)_MDC_Kaštanová 1161, Sušice - omega + L brackets replacement</t>
  </si>
  <si>
    <t>1x S0PF56226112 L-B Type L TG106 2 H50 = 13,75 EUR/pc
8x S0PF56225810 O-A1 L 850 106 3_T75_H50 = 12,75 EUR/pc</t>
  </si>
  <si>
    <t>Project UKC LJUBLJANA  - SLO1006786-002 / SCS-X00435171-VS00</t>
  </si>
  <si>
    <t>SCS-X00435171-VS00</t>
  </si>
  <si>
    <t>VI-2025-01-00001937</t>
  </si>
  <si>
    <t>commission 20129518</t>
  </si>
  <si>
    <r>
      <rPr>
        <b/>
        <sz val="10"/>
        <rFont val="Calibri"/>
        <family val="2"/>
        <charset val="238"/>
        <scheme val="minor"/>
      </rPr>
      <t>Which CAR_RAIL_TYPE?</t>
    </r>
    <r>
      <rPr>
        <sz val="10"/>
        <rFont val="Calibri"/>
        <family val="2"/>
        <charset val="238"/>
        <scheme val="minor"/>
      </rPr>
      <t xml:space="preserve">
46x S0PF50809709 Z-AL0E/CL0E T75 or T89LH = 8,24EUR/pc
or
46x S0PF50809710 Z-AL0E/CL0E T89RH/SH = 10,26EUR/pc</t>
    </r>
  </si>
  <si>
    <t>SCS-X00435346-VS00</t>
  </si>
  <si>
    <t>Replacement material (DEU0011736149) - SCS-X00435346-VS00 - ETA-297454</t>
  </si>
  <si>
    <t>n.8 Z-CL2; n.1  L-B L 106 2  ; n. 7  O-A1 L 708/732 106 2</t>
  </si>
  <si>
    <t xml:space="preserve">4547226797; 4547226795; 4547226794; 4547226789; 4547226785; 4547226784; 4547226786; 4547226780; 4547226781; 4547226777; 4547226776; 4547226772. </t>
  </si>
  <si>
    <t xml:space="preserve">4547226787; 4547226791; 4547226788; 4547226779; </t>
  </si>
  <si>
    <r>
      <t xml:space="preserve">Duplicita SCS-X00430991-VS00  - </t>
    </r>
    <r>
      <rPr>
        <b/>
        <i/>
        <sz val="10"/>
        <rFont val="Calibri"/>
        <family val="2"/>
        <charset val="238"/>
        <scheme val="minor"/>
      </rPr>
      <t>?? Stejný požadavek na mat, ne duplicita</t>
    </r>
  </si>
  <si>
    <t>Z9020000FG01</t>
  </si>
  <si>
    <t>DDP</t>
  </si>
  <si>
    <t>SENT TO CUSTOMER 3.9.2025</t>
  </si>
  <si>
    <t>DDP - SAC is paying transport 83,15 EUR</t>
  </si>
  <si>
    <t>2x S0PF50801271 - 30 meters = 1,03 EUR/meter
2x S0PF56225567 - 12 meters = 0,67 EUR/meter
2x S0PF51971853 = 23,54 EUR/pc</t>
  </si>
  <si>
    <t>8x S0PF56225755 Z-CL2 T75 = 5,57 EUR/pc
1x S0PF56226112 L-B Type L TG106 2 H50 = 13,75 EUR/pc
7x S0PF56225814 O-A1 L 708/732 106 2_T75_H50 = 12,96 EUR/pc</t>
  </si>
  <si>
    <t>DELTA - VI-01-2025-00002032 - TVC2 - GB1</t>
  </si>
  <si>
    <t>Andrew Yoxon</t>
  </si>
  <si>
    <t>227,33 / 228</t>
  </si>
  <si>
    <t>8+1+7</t>
  </si>
  <si>
    <t>5,57 + 13,75 + 12,96</t>
  </si>
  <si>
    <t>1x S0PF56225617 CWT ACCESSORIES BOX 2 STM BFK30 = 71,49 EUR/pc</t>
  </si>
  <si>
    <t xml:space="preserve">Pascual Izaguerri Castillo </t>
  </si>
  <si>
    <t>Minerva House - Various vendor inquiry's</t>
  </si>
  <si>
    <t>PL1 - VI-01-2025-00002065</t>
  </si>
  <si>
    <t>PL2 - VI-01-2025-00002062</t>
  </si>
  <si>
    <t>PL3 - VI-01-2025-00002063</t>
  </si>
  <si>
    <t>PL4 - VI-01-2025-00002064</t>
  </si>
  <si>
    <t xml:space="preserve">commission 11864308 </t>
  </si>
  <si>
    <t>VI-01-2025-00001900</t>
  </si>
  <si>
    <t xml:space="preserve">alberto.brambilla@schindler.com </t>
  </si>
  <si>
    <t>andrew.yoxon@schindler.com</t>
  </si>
  <si>
    <t>Parameter "HSG" itself has no impact on order content.
We cannot tell, how other parameters would be affected by this change, e.g.:
HSS1 -&gt; CAR plinth type and height
HSS2 -&gt; CWT plinth type and height
Other consequences?
Kindly generate the full COS configuration based in HSG=2900 or discuss with INDU team.
Thank you.</t>
  </si>
  <si>
    <t>Odpovězeno -&gt; žádný dopad na cenu, jen musíme dostat B2B soubor před importem</t>
  </si>
  <si>
    <t>SCS-X00434407-VS00</t>
  </si>
  <si>
    <t>S0PF49110184 Protection screen for BG512 CWT H1980</t>
  </si>
  <si>
    <t>DEU0020127590</t>
  </si>
  <si>
    <t>MH</t>
  </si>
  <si>
    <t>- || -</t>
  </si>
  <si>
    <t>SCS-X00437521-VS00</t>
  </si>
  <si>
    <t xml:space="preserve">SCS-X00437520-VS00 </t>
  </si>
  <si>
    <t>SCS-X00437814-VS00</t>
  </si>
  <si>
    <t xml:space="preserve">1 Unit Pit ladder length 2600 mm , ID 51962492 </t>
  </si>
  <si>
    <t xml:space="preserve">DUB0011813271 </t>
  </si>
  <si>
    <t>SCS-X00438404-VS00</t>
  </si>
  <si>
    <t>Project KLÖPPERHAUS - DEU0011828299</t>
  </si>
  <si>
    <t>40 Stück Winkelkombinationen Z-EL4 (SF=105-200mm) mit der Id.-Nr.: 57646355./ Car guide rail T127-1/B</t>
  </si>
  <si>
    <t>1x S0PFX1964473 Stingl Fold Ladder - L=3150mm (Var) = 370,85 EUR/pc
Original PO does not contain Ladders COS - we need it for this order</t>
  </si>
  <si>
    <t>1x S0PFX1962492 Stingl Fold Ladder - L=2600mm (Var) = 323,81 EUR/pc
Original PO does not contain Ladders COS - we need it for this order</t>
  </si>
  <si>
    <t>40x S0PFX7646355 Z-EL4 = 9,49 EUR/pc
Car rail = T127-1/B</t>
  </si>
  <si>
    <t>SCS-X00437967-VS00</t>
  </si>
  <si>
    <t>WAW0011825577</t>
  </si>
  <si>
    <t>1 unit of support buffer,  corresponding to CW</t>
  </si>
  <si>
    <t>SCS-X00439027-VS00</t>
  </si>
  <si>
    <t>Project Technická 2896/2, Brno - PRG0020131792</t>
  </si>
  <si>
    <t>SCS-X00439029-VS00</t>
  </si>
  <si>
    <t>Project Technická 2896/2, Brno - PRG0020131790</t>
  </si>
  <si>
    <t>4 pcs 57624719 (Z-CH4)</t>
  </si>
  <si>
    <t>4 pcs 57624719 (Z-CH4) /4 pcs 51971343 (O-B H 850 160 1)</t>
  </si>
  <si>
    <t>SCS-X00439031-VS00</t>
  </si>
  <si>
    <t>Project Technická 2896/2, Brno - PRG0020131793</t>
  </si>
  <si>
    <t>4 pcs 51971343 (O-B H 850 160 1)</t>
  </si>
  <si>
    <t>1x S0PF49110116 RSP_1000_PDNO_HSS2_167_ZPG2_D0D2_400L4 = 25,05 EUR/pc</t>
  </si>
  <si>
    <t>4x S0PF57624719 Z-CH4 = 9,9 EUR/pc
4x S0PFX1971343 O-B Bracket H BG850 TG160 1 = 67,68 EUR/pc</t>
  </si>
  <si>
    <t>4x S0PF57624719 Z-CH4 = 9,9 EUR/pc</t>
  </si>
  <si>
    <t>4x S0PFX1971343 O-B Bracket H BG850 TG160 1 = 67,68 EUR/pc</t>
  </si>
  <si>
    <t>4+4</t>
  </si>
  <si>
    <t>9,9/67,68</t>
  </si>
  <si>
    <t>Mikuláš Molnár - DSW</t>
  </si>
  <si>
    <t>mikulas.molnar@schindler.com</t>
  </si>
  <si>
    <t>SCS-X00438415-VS00</t>
  </si>
  <si>
    <t xml:space="preserve">HAG0020126335 </t>
  </si>
  <si>
    <t>2 Pcs S0PFX7850567 Z-CH14 (2x) / 2 Pcs S0PFX1973522 O-D Bracket H BG1400 TG190 3 (2x)</t>
  </si>
  <si>
    <t>SCS-X00440076-VS00</t>
  </si>
  <si>
    <t>WAW0020117839 - 5 pcs</t>
  </si>
  <si>
    <t>WAW0020117840 - 5 pcs</t>
  </si>
  <si>
    <t>WAW0020117841 - 5 pcs</t>
  </si>
  <si>
    <t>WAW0020117842- 5 pcs</t>
  </si>
  <si>
    <t>57642326- Z-CL2 (SF: 52-105 mm)</t>
  </si>
  <si>
    <t>Car guide rails T75-3/B</t>
  </si>
  <si>
    <t>CWT guide rails  H50</t>
  </si>
  <si>
    <t>Project KSM 2025 Miła</t>
  </si>
  <si>
    <r>
      <rPr>
        <sz val="10"/>
        <rFont val="Calibri"/>
        <family val="2"/>
        <charset val="238"/>
        <scheme val="minor"/>
      </rPr>
      <t xml:space="preserve">For other SCH parts, we use RAL1023 - it's very similar to RAL1021, so could we use it?
If not, we'd need to run RFQ for new color price and delivery time to prepare an offer.
</t>
    </r>
    <r>
      <rPr>
        <b/>
        <sz val="10"/>
        <rFont val="Calibri"/>
        <family val="2"/>
        <charset val="238"/>
        <scheme val="minor"/>
      </rPr>
      <t xml:space="preserve">
Offer depending on the delivery date using RAL1023:
All 4 orders manufactured at the same time = extra </t>
    </r>
    <r>
      <rPr>
        <b/>
        <sz val="10"/>
        <color rgb="FFFF0000"/>
        <rFont val="Calibri"/>
        <family val="2"/>
        <charset val="238"/>
        <scheme val="minor"/>
      </rPr>
      <t>219,05 EUR</t>
    </r>
    <r>
      <rPr>
        <b/>
        <sz val="10"/>
        <rFont val="Calibri"/>
        <family val="2"/>
        <charset val="238"/>
        <scheme val="minor"/>
      </rPr>
      <t xml:space="preserve">/order
Each order manufactured separately = extra </t>
    </r>
    <r>
      <rPr>
        <b/>
        <sz val="10"/>
        <color rgb="FFFF0000"/>
        <rFont val="Calibri"/>
        <family val="2"/>
        <charset val="238"/>
        <scheme val="minor"/>
      </rPr>
      <t>438,09 EUR</t>
    </r>
    <r>
      <rPr>
        <b/>
        <sz val="10"/>
        <rFont val="Calibri"/>
        <family val="2"/>
        <charset val="238"/>
        <scheme val="minor"/>
      </rPr>
      <t>/order
+ fees</t>
    </r>
  </si>
  <si>
    <t>450 / 529 SupplyOn</t>
  </si>
  <si>
    <t>Doobjednání a nabídka pro patku vzpěr</t>
  </si>
  <si>
    <t>14 x ID:51973254</t>
  </si>
  <si>
    <t>VI-01-2025-00002172</t>
  </si>
  <si>
    <t>814045406 (20130238)_MDC Kamenická 655_54, Praha 1 - omega + L brackets</t>
  </si>
  <si>
    <t xml:space="preserve">6ks vzpěr O-A2 512 106 2 a 1ks vzpěra L-B L 106 2 </t>
  </si>
  <si>
    <t>S01SA1973254-14ks / S01S51972889 - 2 ks</t>
  </si>
  <si>
    <t>MF</t>
  </si>
  <si>
    <t>123 ks</t>
  </si>
  <si>
    <t>14+2</t>
  </si>
  <si>
    <t>7,68/2,25</t>
  </si>
  <si>
    <t>22.09.2025 / 3.10.2025</t>
  </si>
  <si>
    <t>PAR0011619786 - CUJA</t>
  </si>
  <si>
    <t>2   Complete Omega Bracket type O-A2-L-1002-106-4 8 / 2   Complete Z Bracket type Z-AL-1-E</t>
  </si>
  <si>
    <t>VI-01-2025-00002271</t>
  </si>
  <si>
    <t>commission 20116534</t>
  </si>
  <si>
    <t>Alberto Brambilla</t>
  </si>
  <si>
    <t>N°5 Z-AL2 and relative fishplates</t>
  </si>
  <si>
    <t>VI-01-2025-00002272</t>
  </si>
  <si>
    <t>commission 20116532</t>
  </si>
  <si>
    <t>ETO</t>
  </si>
  <si>
    <t>5x S0PF56225755 Z-CL2 T75 = 7,7 EUR/pc</t>
  </si>
  <si>
    <t>2x S0PFX7850567 Z-CH14 = 7,15 EUR/pc
2x S0PFX1973522 O-D Bracket H BG1400 TG190 3 = 144,66 EUR/pc</t>
  </si>
  <si>
    <t>Offer request 20134827 / 20134828</t>
  </si>
  <si>
    <t>16x Z-AL0 brackets complete for T75 rails ID: 57660790 (8 for each commission).</t>
  </si>
  <si>
    <t>STORNO</t>
  </si>
  <si>
    <t>SCS-X00432711-VS00</t>
  </si>
  <si>
    <t>7,15+144,66</t>
  </si>
  <si>
    <t>SCS-X00439046-VS00</t>
  </si>
  <si>
    <t>9 Pcs Id.Nr.57659260 Buffer Plinth HSS2=35mm</t>
  </si>
  <si>
    <t>VI-01-2025-00002306</t>
  </si>
  <si>
    <t>11862708  / Project: Anna Lindh Haus</t>
  </si>
  <si>
    <t>New Length of cable for KSS switch : currently 15 m new length 45 m</t>
  </si>
  <si>
    <t>44,28 + FP</t>
  </si>
  <si>
    <t>2+2+1+1+8</t>
  </si>
  <si>
    <t>20,73+4,4+5,84+1,6+0,49</t>
  </si>
  <si>
    <t>5+10+2</t>
  </si>
  <si>
    <t>4,86+0,83+5,84</t>
  </si>
  <si>
    <t>rejected</t>
  </si>
  <si>
    <t>Price CWT GGM2 type 8 - OUT OF SCOPE</t>
  </si>
  <si>
    <t xml:space="preserve"> 25.2.2025 / 30.9.2025</t>
  </si>
  <si>
    <t>SCS-X00443605-VS00</t>
  </si>
  <si>
    <t>WAW0011794893 - ETA-303475</t>
  </si>
  <si>
    <t>Protection Screen BG1002 CWT - S0PF49110180 2 ks</t>
  </si>
  <si>
    <t>SCS-X00441653-VS00</t>
  </si>
  <si>
    <t>Project Alt Britz 107  - DEU001180308</t>
  </si>
  <si>
    <t>10x O-Bracket L BG600 TG1901 - S0PFX1973398 O-B Bracket L BG600 TG190 1</t>
  </si>
  <si>
    <t xml:space="preserve"> VI-01-2025-00002317</t>
  </si>
  <si>
    <t>VI-01-2025-00002338</t>
  </si>
  <si>
    <t>Ibrahima Diallo</t>
  </si>
  <si>
    <t>GARE DE CHELLES GOURNAY - Quai 1 BV [20129523]</t>
  </si>
  <si>
    <t>Out of scope</t>
  </si>
  <si>
    <t xml:space="preserve"> ibrahima.diallo2@schindler.com</t>
  </si>
  <si>
    <t>SCS-X00443909-VS00</t>
  </si>
  <si>
    <t>Type of CWT guide rail  H75-1 / CWT guide shoe type   Guide Shoe I7</t>
  </si>
  <si>
    <t>VI-01-2025-00002343</t>
  </si>
  <si>
    <t>Boris Nikolai Wolf</t>
  </si>
  <si>
    <t>GARE DE CHATEAU THIERRY [11852557]</t>
  </si>
  <si>
    <t>I only need additional standard Omega and Z bracket</t>
  </si>
  <si>
    <t>QH Crown 1 Lifts 11856467 _70 cable length - Out of scope</t>
  </si>
  <si>
    <t>811577977 - Out of scope</t>
  </si>
  <si>
    <t>VI-01-2025-00002342</t>
  </si>
  <si>
    <t>GARE DE CHATEAU THIERRY - Quai 1 [11852557]</t>
  </si>
  <si>
    <t>14 pcs wall interface sg 135 300</t>
  </si>
  <si>
    <t xml:space="preserve"> SCS-X00444579-VS00</t>
  </si>
  <si>
    <t>DEU0011811154</t>
  </si>
  <si>
    <t>1x COS CWT Frame</t>
  </si>
  <si>
    <t>MF/K</t>
  </si>
  <si>
    <t>1x 920359375321</t>
  </si>
  <si>
    <t>Guide shoe MM GSL I7 BFK=30(+2 screw M8) - 920359375321</t>
  </si>
  <si>
    <t xml:space="preserve">boris.wolf@schindler.com </t>
  </si>
  <si>
    <t>VI-01-2025-00002430</t>
  </si>
  <si>
    <t>VI-01-2025-00002397</t>
  </si>
  <si>
    <t>VI-01-2025-00002398</t>
  </si>
  <si>
    <t>S0PF57675216; KSS TYP B 4STM MRL ANTI-TWF (modified both cables to 50)</t>
  </si>
  <si>
    <t>S0PF57675216; KSS TYP B 4STM MRL ANTI-TWF (modified both cables to 55)</t>
  </si>
  <si>
    <t>6 units of S0PF49110189 Lat. fixation cpl. XCW93_CLS_H50_SG&lt;=300</t>
  </si>
  <si>
    <t>GARE D'AVIGNON - Asc. Voie 3 [TGV] [20131556]</t>
  </si>
  <si>
    <t>VI-01-2025-00002365</t>
  </si>
  <si>
    <t>Offer Hotel Ritz Lisboa</t>
  </si>
  <si>
    <t>GARE DE CHALON SUR SAÔNE - Quai 1 [11857211]</t>
  </si>
  <si>
    <t>VI-01-2025-00002442</t>
  </si>
  <si>
    <t xml:space="preserve">Project: Anna Lindh Haus / 11862703 </t>
  </si>
  <si>
    <t>wire rope for travel height 10500mm idnr 56225567</t>
  </si>
  <si>
    <t>14x CZ 310000 = 12,02 EUE/pc</t>
  </si>
  <si>
    <t>+5x S0PFX7661046 Z-SE6 = 31,57 EUR/pc
+5x S0PFX1979578 O-C2 Bracket H BG1002 TG160 1 = 107,71 EUR/pc
+5x S0PF51200046 Bag sliding clip SL4 (T89) (x8) = 7,28 EUR/pc</t>
  </si>
  <si>
    <t>5+5+5</t>
  </si>
  <si>
    <t>31,57+107,71+7,28</t>
  </si>
  <si>
    <t>We cannot offer</t>
  </si>
  <si>
    <t>6x S0PF49110189 Lat. fixation cpl. XCW93_CLS_H50_SG&lt;=300 = 9,6 EUR/pc</t>
  </si>
  <si>
    <t>1x S0PF57675216
Cable length +50m = 0,67EUR *50 = + 33,5 EUR</t>
  </si>
  <si>
    <t>Extra 33,5 EUR</t>
  </si>
  <si>
    <t>sent together ES5</t>
  </si>
  <si>
    <t xml:space="preserve"> sent </t>
  </si>
  <si>
    <t>3.11.205</t>
  </si>
  <si>
    <t>esther.dinganga@schindler.com</t>
  </si>
  <si>
    <t>Esther Dinganga</t>
  </si>
  <si>
    <t xml:space="preserve">Esther Dinganga </t>
  </si>
  <si>
    <t>50m kabelu navíc</t>
  </si>
  <si>
    <t>0,67 -- 33,50</t>
  </si>
  <si>
    <t>VI-01-2025-00002364 = VI-01-2025-00002423</t>
  </si>
  <si>
    <t>6x CZ 300000 = 6,8 EUR/pc - UPDATE NEEDS 12PCS</t>
  </si>
  <si>
    <t xml:space="preserve">6x CZ 300000 = 6,8 EUR/pc </t>
  </si>
  <si>
    <t>OUT OF OUR SCOPE</t>
  </si>
  <si>
    <t>Dringend** Anfrage Ersatzteile</t>
  </si>
  <si>
    <t xml:space="preserve">Ramona Scheike </t>
  </si>
  <si>
    <t>Z-EH4 / 57646388 / 57646389</t>
  </si>
  <si>
    <t>ramona.scheike@schindler.com</t>
  </si>
  <si>
    <t>SCS-X00446931-VS00</t>
  </si>
  <si>
    <t>MIL0020121631</t>
  </si>
  <si>
    <t>640509154 - DEU0011841470</t>
  </si>
  <si>
    <t>22 ks 57646388 / 22 ks 57646289</t>
  </si>
  <si>
    <r>
      <t xml:space="preserve">commission 11843715 - </t>
    </r>
    <r>
      <rPr>
        <sz val="10"/>
        <rFont val="Calibri"/>
        <family val="2"/>
        <charset val="238"/>
        <scheme val="minor"/>
      </rPr>
      <t>In need of specifications - UPDATED!</t>
    </r>
  </si>
  <si>
    <t>Offer EXTRACOST - Additional bracket levels - CLESA AM3 Project - ESP0011841872 + 74 + 75 + 77 + 79 + 85</t>
  </si>
  <si>
    <t xml:space="preserve"> angel.gea@schindler.com</t>
  </si>
  <si>
    <t>Offer EXTRACOST - Additional bracket level</t>
  </si>
  <si>
    <t>CANCELLED</t>
  </si>
  <si>
    <t>FROM</t>
  </si>
  <si>
    <t>CUSTOMER´S SIDE</t>
  </si>
  <si>
    <t>GARE DE CHALON SUR SAÔNE</t>
  </si>
  <si>
    <t>GARE DE CHALON SUR SAÔNE - VI-01-2025-00002448 / VI-01-2025-00002477 / VI-01-2025-00002506 / VI-01-2025-00002505</t>
  </si>
  <si>
    <t>VI-01-2025-00002527</t>
  </si>
  <si>
    <t xml:space="preserve">výměna 3ks vzpěr O-A2 L 708/732 106 2 </t>
  </si>
  <si>
    <t>813583290 (20133930)_MDC_Václavské náměstí 840_5, Praha - omega vzpěry</t>
  </si>
  <si>
    <t>VI-01-2025-00002528</t>
  </si>
  <si>
    <t xml:space="preserve"> 814166627 (11865101) MDC Hotel Schreiner Volary - omega vzpěra</t>
  </si>
  <si>
    <t>výměna 1ks vzpěr O-A2 L 1002 106 1</t>
  </si>
  <si>
    <t>SCS-X00446037-VS00</t>
  </si>
  <si>
    <t>PAR0020129524</t>
  </si>
  <si>
    <t>SCS-X00445985-VS00</t>
  </si>
  <si>
    <t>PAR0020129523</t>
  </si>
  <si>
    <t>14 Wall Interfaces (CZ 310000) / 1 Omega Bracket O-B L 1002 160 2 / 1 Z Bracket Z-AL 16</t>
  </si>
  <si>
    <t xml:space="preserve">4548030934; 4548030935 </t>
  </si>
  <si>
    <t>SCS-X00446184-VS00</t>
  </si>
  <si>
    <t>WAW0011770541</t>
  </si>
  <si>
    <t>SCS-X00446578-VS00</t>
  </si>
  <si>
    <t>VI-01-2025-00002587; VI-01-2025-00002582</t>
  </si>
  <si>
    <t>VI-01-2025-00002592; VI-01-2025-00002593</t>
  </si>
  <si>
    <t>GARE DE ST AGNE (11862220 - 11862222)</t>
  </si>
  <si>
    <t>St Agne (11862222) – Quai 1: VI-01-2025-00002588</t>
  </si>
  <si>
    <t>St Agne (11862220) – Quai 2 : VI-01-2025-00002589</t>
  </si>
  <si>
    <t>PAR0011807149</t>
  </si>
  <si>
    <t>Boris-Nikolai Wolf</t>
  </si>
  <si>
    <t>S0PF49110180 + S0PF49110189 + S0PF49110185 + S0PF49110187</t>
  </si>
  <si>
    <t>2+1+1+1</t>
  </si>
  <si>
    <t>37,86+9,6+2,82+3,94</t>
  </si>
  <si>
    <t>132,52 / 133,-</t>
  </si>
  <si>
    <t>Soubor EXPORT_VA05 ve složce obsahuje všechny vytvořené SO a jejich rozpady</t>
  </si>
  <si>
    <t>2+2+2</t>
  </si>
  <si>
    <t>32,96+10,05+23,54</t>
  </si>
  <si>
    <t>212,40 / 213</t>
  </si>
  <si>
    <t>VO-01-2025-00002323</t>
  </si>
  <si>
    <t>Tension Weight</t>
  </si>
  <si>
    <t>SCS-X00447664-VS00</t>
  </si>
  <si>
    <t>DEU0011815485</t>
  </si>
  <si>
    <t>7 units of S0PF56225956 - Z-AL4 / 1 unit of S0PF56225732 - L Bracket-A L 106 1/6 units of S0PF56225804 - O-A1 L 850 106 1_T75_H50</t>
  </si>
  <si>
    <t>VI-01-2025-00002604</t>
  </si>
  <si>
    <t>připraveno dne</t>
  </si>
  <si>
    <t xml:space="preserve">Carsten Hubald </t>
  </si>
  <si>
    <t>7+1+6</t>
  </si>
  <si>
    <t>38,08+9,17+71,88</t>
  </si>
  <si>
    <t>197,43 / 198,-</t>
  </si>
  <si>
    <t>228+265+227+1201+1216+1217</t>
  </si>
  <si>
    <t>126,18 / 127,-</t>
  </si>
  <si>
    <t>OOS - Kevin</t>
  </si>
  <si>
    <t>out of scope 1 part</t>
  </si>
  <si>
    <t xml:space="preserve">CANCELLED </t>
  </si>
  <si>
    <t>9 PLACE VENDOME PARIS</t>
  </si>
  <si>
    <t xml:space="preserve">303847114_100 &amp; 200 </t>
  </si>
  <si>
    <t xml:space="preserve">Frédéric Neau </t>
  </si>
  <si>
    <t>S0PFX1971329; S0PF57642336</t>
  </si>
  <si>
    <t>83,23 + 10,63</t>
  </si>
  <si>
    <t>172,16 / 172,-</t>
  </si>
  <si>
    <t>14 Wall Interfaces (CZ 320000)-CANCELLED  / 1x Omega Bracket O-B H 1400 160 4 /1x Z Bracket Z-CL 7</t>
  </si>
  <si>
    <t xml:space="preserve">73,95 + 6,18 </t>
  </si>
  <si>
    <t xml:space="preserve">158,43 / 159,- </t>
  </si>
  <si>
    <t>carsten.hubald@schindler.com</t>
  </si>
  <si>
    <t>SCS-X00447428-VS00</t>
  </si>
  <si>
    <t>SLO1005704-002</t>
  </si>
  <si>
    <t>1+1+2+2+1+1+1+1</t>
  </si>
  <si>
    <t>update  Z-CL8 (CAR T75-3/B)</t>
  </si>
  <si>
    <t>VI-01-2025-00002578</t>
  </si>
  <si>
    <t>VI-01-2025-00002580</t>
  </si>
  <si>
    <t>VI-01-2025-00002570</t>
  </si>
  <si>
    <t>VI-01-2025-00002574</t>
  </si>
  <si>
    <t>180,77 / 181,-</t>
  </si>
  <si>
    <t>16,32+11,72+1,83+18,93+11,82+2,82+3,94+14,32</t>
  </si>
  <si>
    <t>OOS</t>
  </si>
  <si>
    <t>2+1+1+2+4</t>
  </si>
  <si>
    <t>12,02+47,11+23,74+5,84+4,41</t>
  </si>
  <si>
    <t>202,51 / 203,-</t>
  </si>
  <si>
    <t>1+1+1+2</t>
  </si>
  <si>
    <t>12,02+47,11+5,84+4,41</t>
  </si>
  <si>
    <t>152,09 / 152</t>
  </si>
  <si>
    <t xml:space="preserve"> SCS-X00447214-VS00</t>
  </si>
  <si>
    <t>WAW0011833692</t>
  </si>
  <si>
    <t>1+1+6+1</t>
  </si>
  <si>
    <t>7,15+82,24+1,07+7,28</t>
  </si>
  <si>
    <t>špatná specifikace - chybí COS</t>
  </si>
  <si>
    <t>SCS-X00449168-VS00</t>
  </si>
  <si>
    <t xml:space="preserve">Project TDT&amp; Partners Xhamia - Phase 1 - SLO1006957-010 </t>
  </si>
  <si>
    <t>813281715 -SAP WDF01 SANIERUNG 20116700</t>
  </si>
  <si>
    <t xml:space="preserve">Gad Grumberg </t>
  </si>
  <si>
    <t>S0PFX1971335 - 19 ks</t>
  </si>
  <si>
    <t>SCS-X00447857-VS00</t>
  </si>
  <si>
    <t>Project Am Märzenbuckel 10 - DEU0011805066</t>
  </si>
  <si>
    <t>1 x S0PFX1973195 O-C Bracket H BG1400 TG190 1 + 1 x S0PFX1973375 O-B Bracket L BG1400 TG190 1</t>
  </si>
  <si>
    <t>VI-01-2025-00002708</t>
  </si>
  <si>
    <t>SCS-X00448564-VS00</t>
  </si>
  <si>
    <t>BUC0011873055</t>
  </si>
  <si>
    <t>S0PF56225996 - 1 KS  - A S0PF56225963 - 1 KS</t>
  </si>
  <si>
    <t>ES5.0</t>
  </si>
  <si>
    <t>4+6</t>
  </si>
  <si>
    <t>50,44+54,79</t>
  </si>
  <si>
    <t>608,80 / 609</t>
  </si>
  <si>
    <t xml:space="preserve"> sent</t>
  </si>
  <si>
    <t>101,17+63,05</t>
  </si>
  <si>
    <t>242,52 / 243</t>
  </si>
  <si>
    <t>22,17+26,12</t>
  </si>
  <si>
    <t>126,59 / 127</t>
  </si>
  <si>
    <t>VI-01-2025-00002448 for 172,-- EUR</t>
  </si>
  <si>
    <t>VI-01-2025-00002477 for 172,-- EUR</t>
  </si>
  <si>
    <t>VI-01-2025-00002506 for 172,-- EUR</t>
  </si>
  <si>
    <t>VI-01-2025-00002505 for 172,-- EUR</t>
  </si>
  <si>
    <t>tj.</t>
  </si>
  <si>
    <t xml:space="preserve">tj. </t>
  </si>
  <si>
    <t>Davinia Sobradiel Vidal</t>
  </si>
  <si>
    <t>ESP0011806702</t>
  </si>
  <si>
    <t>Offer HOSPITAL OURENSE  Ref: ESP0011806702</t>
  </si>
  <si>
    <t>303892982-200</t>
  </si>
  <si>
    <t>offer request - Roche Bau 51 Basel</t>
  </si>
  <si>
    <t>118,43/119</t>
  </si>
  <si>
    <t>boris.wolf@schindler.com</t>
  </si>
  <si>
    <t xml:space="preserve">Boris-Nikolai Wolf </t>
  </si>
  <si>
    <t xml:space="preserve">Christopher Scheuber </t>
  </si>
  <si>
    <t>christopher.scheuber@schindler.com</t>
  </si>
  <si>
    <t>davinia.sobradiel@schindler.com</t>
  </si>
  <si>
    <t>VI-01-2025-00002742</t>
  </si>
  <si>
    <t>commission 11911839</t>
  </si>
  <si>
    <t>n.5 Z-AL5; n.1, L-B L 106 2 ; n.5 O-A2 L 1002 106 2</t>
  </si>
  <si>
    <t>31675 | 31800</t>
  </si>
  <si>
    <t>SCS-X00450378-VS00</t>
  </si>
  <si>
    <r>
      <t>1 unit of Lat. Support for Counterweight H50 (S0PF49110154/12025)</t>
    </r>
    <r>
      <rPr>
        <sz val="10"/>
        <color rgb="FFFF0000"/>
        <rFont val="Arial"/>
        <family val="2"/>
        <charset val="238"/>
      </rPr>
      <t xml:space="preserve"> </t>
    </r>
  </si>
  <si>
    <t>Asc. G2 [11862224]</t>
  </si>
  <si>
    <t xml:space="preserve"> VI-01-2025-00002674 </t>
  </si>
  <si>
    <t xml:space="preserve">GARE D'AUSTERLITZ - Asc. G1  [11857200] </t>
  </si>
  <si>
    <t>54+26</t>
  </si>
  <si>
    <t>16,79+119,60</t>
  </si>
  <si>
    <t>4094,56 / 4095</t>
  </si>
  <si>
    <t>204,24 / 205</t>
  </si>
  <si>
    <t>luca.lo.presti@schindler.com</t>
  </si>
  <si>
    <t>SCS-X00450532-VS00</t>
  </si>
  <si>
    <t>FTO - 4548247658 - 640513371 - ASZ0011788319</t>
  </si>
  <si>
    <t>319,26 / 320</t>
  </si>
  <si>
    <t>Additional Brackets - Items 700, 800, 900, 1000</t>
  </si>
  <si>
    <t>Saadeldin Fawzi</t>
  </si>
  <si>
    <t>Offer request for modified GGM43 Type 52</t>
  </si>
  <si>
    <t xml:space="preserve">Gabriele Bizzozero </t>
  </si>
  <si>
    <t>gabriele.bizzozero@schindler.com</t>
  </si>
  <si>
    <t>SCS-X00449455-VS00</t>
  </si>
  <si>
    <t>Project BD5 MÁCHOVNA, Nepilova, Beroun - PRG0011785707</t>
  </si>
  <si>
    <t>191,87 / 192,-</t>
  </si>
  <si>
    <t>1x S0PF49110154_Lat. Support for Counterweight H50 = 12,67 EUR/pc</t>
  </si>
  <si>
    <t>SCS-X00452270-VS00</t>
  </si>
  <si>
    <t>WAW0011842307</t>
  </si>
  <si>
    <t>2xS0PFX1971326</t>
  </si>
  <si>
    <t>2 Pcs. ID:51973407 -&gt; O-B H 1400 190 2 complete; 2 Pcs. ID:57646390 -&gt; Z-EH4 complete</t>
  </si>
  <si>
    <t>SCS-X00452298-VS00</t>
  </si>
  <si>
    <t>DEU0020133301; Project Rosenstraße 1, 10178 Berlin II</t>
  </si>
  <si>
    <t>Esther Palacín Fuentes  / Ramiro</t>
  </si>
  <si>
    <t>4546502307 ESTAMPACIONES METALICAS EP</t>
  </si>
  <si>
    <t>51201451 Kit de la escalera de foso</t>
  </si>
  <si>
    <t xml:space="preserve">esther.palacin@schindler.com </t>
  </si>
  <si>
    <t>11+6+6</t>
  </si>
  <si>
    <t>133,56+27,18+5,84</t>
  </si>
  <si>
    <t xml:space="preserve">Prices valid on the day of delivery are decisive. Raw material surcharges, or surcharges which will occur due to the war in Ukraine, will be applied if necessary. </t>
  </si>
  <si>
    <t>If raw material price increases occur until the final delivery of the order, we reserve the right to adjust prices accordingly.</t>
  </si>
  <si>
    <t>The order is only considered accepted with our official order confirmation.</t>
  </si>
  <si>
    <t>Dodatek k nabídce (Wertheim):</t>
  </si>
  <si>
    <t>Rozhodující jsou ceny platné v den dodání. V případě potřeby budou uplatněny příplatky za suroviny, případně příplatky vzniklé v důsledku války na Ukrajině.</t>
  </si>
  <si>
    <t>Pokud dojde ke zvýšení cen surovin až do konečného dodání objednávky, vyhrazujeme si právo ceny odpovídajícím způsobem upravit.</t>
  </si>
  <si>
    <t>Objednávka je považována za přijatou až po našem oficiálním potvrzení objednávky.</t>
  </si>
  <si>
    <t>203,34 / 204</t>
  </si>
  <si>
    <t>85,63+1,07+25,89+0,49+7,28</t>
  </si>
  <si>
    <t>1+4+1+4+1</t>
  </si>
  <si>
    <t>SCS-X00452783-VS00</t>
  </si>
  <si>
    <t>ETA-310219</t>
  </si>
  <si>
    <t>Replacement material (UKC0011854339)</t>
  </si>
  <si>
    <t>1 unit of S0PF56226321 - CWT ACCESSORIES BOX PV40 BFK30 ZZ2</t>
  </si>
  <si>
    <t xml:space="preserve">MASAR 1 &amp; MASAR B / </t>
  </si>
  <si>
    <t>Offer External Offer Nr. Field/ REF.NUMBER</t>
  </si>
  <si>
    <t xml:space="preserve">Randy Balde </t>
  </si>
  <si>
    <t>MOD 776_Villa-Mr.Imad Moh. Salem Lusail - Request for Non Standard Bracket size</t>
  </si>
  <si>
    <t>MOD 776_Villa-Mr.Imad Moh. Salem Lusail</t>
  </si>
  <si>
    <t>Non Standard Bracket size:Z -AL4 7 pcs The required SF2 is minimum of 58mm</t>
  </si>
  <si>
    <t>VI-01-2025-00002886</t>
  </si>
  <si>
    <t>rail brackets to replace those configured in COS - 1x O-BL 1002 160 2;6x O-BL 1002 160 1;1x L-BL 160/190 1</t>
  </si>
  <si>
    <t>Marže u spec. Obj. 35% - tzn. cenu dělit 0,65</t>
  </si>
  <si>
    <t>Aintree - 20134704</t>
  </si>
  <si>
    <t>COS 20134704 attached.</t>
  </si>
  <si>
    <t>Aintree - 20134703</t>
  </si>
  <si>
    <t>SCS-X00451092-VS00 and SCS-X00451097-VS00</t>
  </si>
  <si>
    <t>KH / MH</t>
  </si>
  <si>
    <t>jason.risdon@schindler.com</t>
  </si>
  <si>
    <t>Jason Risdon</t>
  </si>
  <si>
    <t xml:space="preserve"> com. 20134274</t>
  </si>
  <si>
    <t>COS59001035</t>
  </si>
  <si>
    <t>SCS-X00453188-VS00</t>
  </si>
  <si>
    <t>2 units of Z-bracket Z-CH14 /2 units of Omega-bracket O-B H 1002 190 1</t>
  </si>
  <si>
    <t>SCS-X00453186-VS00</t>
  </si>
  <si>
    <t>Additional BRACKETS (DEU0020135964) - ETA-310516</t>
  </si>
  <si>
    <t>2 units of Z-bracket Z-CH14 /2 units of Omega-bracket O-B H1400 160 1</t>
  </si>
  <si>
    <t>Additional BRACKETS (DEU0020135965) ETA-310517</t>
  </si>
  <si>
    <t>SCS-X00451220-VS00</t>
  </si>
  <si>
    <t>1 pit ladder with id.Nr.  52516802</t>
  </si>
  <si>
    <t xml:space="preserve">MOD 776_Villa-Mr.Imad Moh. Salem Lusail </t>
  </si>
  <si>
    <t>Ramiro</t>
  </si>
  <si>
    <t>1 x S0PF51973767 - 36,19 eur/1 x S0PFAB201451 - 27,97 eur/prep+packing 78,30 eur</t>
  </si>
  <si>
    <t>36,19 + 27,97</t>
  </si>
  <si>
    <t>SCS-X00452212-VS00</t>
  </si>
  <si>
    <t>5 extra omega brackets - O-B H 1400 160 2 / 5 extra z brackets - Z-CH15</t>
  </si>
  <si>
    <r>
      <t xml:space="preserve">S0PF57624753 - Buffer Plinth (Shim) HSS1_20..92 - </t>
    </r>
    <r>
      <rPr>
        <u/>
        <sz val="8"/>
        <color theme="1"/>
        <rFont val="Calibri"/>
        <family val="2"/>
        <charset val="238"/>
        <scheme val="minor"/>
      </rPr>
      <t>Quantity: 4 units</t>
    </r>
    <r>
      <rPr>
        <sz val="8"/>
        <color theme="1"/>
        <rFont val="Calibri"/>
        <family val="2"/>
        <charset val="238"/>
        <scheme val="minor"/>
      </rPr>
      <t xml:space="preserve"> / 920759373142 - SA Oleo LSB16.B - Quantity: 6 units</t>
    </r>
  </si>
  <si>
    <t>GARE D'ISSY LES MOULINEAUX</t>
  </si>
  <si>
    <t>COS BRACKET - Omega a Z brakety</t>
  </si>
  <si>
    <t>COS 59001035 / -	Z-Brackets Z-Al1E instead of Z-Al3 / -	Omega Brackets O-A2 L 512 106 1 instead of O-A2 L 512 106 2</t>
  </si>
  <si>
    <t>Jvan Terracciano</t>
  </si>
  <si>
    <t>jvan.terracciano@schindler.com</t>
  </si>
  <si>
    <t xml:space="preserve">11742150 / 11742151 Offer for Seismic Material </t>
  </si>
  <si>
    <t>adrian.doerig@schindler.com</t>
  </si>
  <si>
    <t>Adrian Dörig</t>
  </si>
  <si>
    <t xml:space="preserve">Item 700
1x S0PFX1973696_O-B Bracket H BG1400 TG190 5 = 
4x S0PF00995050_Anchor bolt Hilti HSA-M16x117 BW kit = 
1x S0PF57642552_Z-CH9 = 
4x S0PF00995039_Anchor bolt Hilti HSA-M12x100 BW kit = 
1x S0PF51200046_Bag sliding clip SL4 Short (T89) (x8) = </t>
  </si>
  <si>
    <t>Item 800
1x S0PFX1973696_O-B Bracket H BG1400 TG190 5 = 85,63 EUR/pc
4x S0PF00995050_Anchor bolt Hilti HSA-M16x117 BW kit = 1,07 EUR/pc
1x S0PF57642552_Z-CH9 = 25,89 EUR/pc
4x S0PF00995039_Anchor bolt Hilti HSA-M12x100 BW kit = 0,49 EUR/pc
1x S0PF51200046_Bag sliding clip SL4 Short (T89) (x8) = 7,28 EUR/pc</t>
  </si>
  <si>
    <t>2x S0PF56226178_CAR WOODEN BUF PLINTH HSS1 287 T75 2 = 23,89 EUR/pc
1x S0PF49110114_RSP_1000_PDNO_HSS2_167_ZPG1_D0D2_400L4 = 19,15 EUR/pc
2x S0PF49110180_Protection screen for BG1002 CWT H1980 2 = 18,93 EUR/pc
1x S0PF49110189_Lat. fixation cpl. XCW93_CLS_H50_SG&lt;=300 1 = 9,6 EUR/pc
1x S0PF49110185_Screen fixation Cpl. T75 1 = 2,82 EUR/pc
1x S0PF49110187_Screen Fixation for AC GSI Cpl. T75 1 = 3,94 EUR/pc
1x S0PF49110154_Lat. Support for CWT H50 1 = 12,67 EUR/pc</t>
  </si>
  <si>
    <t>2x S0PFX1971326_O-B Bracket H BG1400 TG160 1 = 76,83 EUR/pc</t>
  </si>
  <si>
    <t>2x S0PFX1973407_O-B Bracket H BG1400 TG190 2 = 78,55 EUR/pc
2x S0PFX7646390_Z-EH4 = 14,3 EUR/pc
1x S0PF51200048_Bag sliding clip SL2 (T75 CTW) (x8) = 3,9 EUR/pc
1x S0PF51200046_Bag sliding clip SL4 Short (T89) (x8) = 7,28 EUR/pc
4x S0PF00993423_Anchor bolt Hilti HST3-M12x115/20 BW kit = 0,83 EUR/pc
8x S0PF51200865_Anchor bolt Hilti HST M16x140 BW D50 kit = 4,05 EUR/pc</t>
  </si>
  <si>
    <t>1x S0PFAB201451_Kit rung ladder.Bernstein/Omron switch = 27,97 EUR/pc</t>
  </si>
  <si>
    <t>1x S0PF56226321_CWT ACCESSORIES BOX PV40 BFK30 ZZ2 = 120,04 EUR/pc</t>
  </si>
  <si>
    <t>No price difference -&gt; MTO configuration</t>
  </si>
  <si>
    <t>Elevator system ES5.0 -&gt; out of our scope</t>
  </si>
  <si>
    <t>2x S0PF49110181_Protection screen for BG850 CWT H1980 = 18,86 EUR/pc
1x S0PF49110189_Lat. fixation cpl. XCW93_CLS_H50_SG&lt;=300 1 = 9,6 EUR/pc
1x S0PF49110185_Screen fixation Cpl. T75 1 = 2,82 EUR/pc
1x S0PF49110187_Screen Fixation for AC GSI Cpl. T75 1 = 3,94 EUR/pc</t>
  </si>
  <si>
    <t>1x S0PFX7850567_Z-CH14 = 7,15 EUR/pc
1x S0PFX1973163_O-C Bracket L BG1400 TG190 1 = 89,24 EUR/pc
4x S0PF52513618_SL4 Short (T89/T127-1) (x1)   = 1,08 EUR/pc
4x S0PF56014982_SL4 (x1)  = 1,05 EUR/pc
4x S0PF00995039_Anchor bolt Hilti HSA-M12x100 BW kit = 0,49 EUR/pc</t>
  </si>
  <si>
    <t>2x S0PFX7850567_Z-CH14 = 7,15 EUR/pc
2x S0PFX1972075_O-B Bracket H BG1002 TG190 1 = 70,29 EUR/pc
1x S0PF51200046_Bag sliding clip SL4 Short (T89) (x8) = 7,28 EUR/pc
1x S0PF51200048_Bag sliding clip SL2 (T75 CTW) (x8) = 3,9 EUR/pc
12x S0PF00993423_Anchor bolt Hilti HST3-M12x115/20 BW kit = 0,83 EUR/pc</t>
  </si>
  <si>
    <t>2x S0PFX7850567_Z-CH14 = 7,15 EUR/pc
2x S0PFX1971326_O-B Bracket H BG1400 TG160 1 = 76,83 EUR/pc
1x S0PF51200046_Bag sliding clip SL4 Short (T89) (x8) = 7,28 EUR/pc
1x S0PF51200048_Bag sliding clip SL2 (T75 CTW) (x8) = 3,9 EUR/pc
12x S0PF00993423_Anchor bolt Hilti HST3-M12x115/20 BW kit = 0,83 EUR/pc</t>
  </si>
  <si>
    <t>5x S0PFX1971327_O-B Bracket H BG1400 TG160 2 = 77,68 EUR/pc
5x S0PFX7850570_Z-CH15 = 7,47 EUR/pc</t>
  </si>
  <si>
    <t>2x S0PF50809689_Z-AL1E T75 or T89LH = 4,4 EUR/pc
2x S0PF56225933_O-A2 L 512 106 1_T75_H50 = 11,97 EUR/pc</t>
  </si>
  <si>
    <r>
      <rPr>
        <u/>
        <sz val="10"/>
        <rFont val="Calibri"/>
        <family val="2"/>
        <charset val="238"/>
        <scheme val="minor"/>
      </rPr>
      <t>Z-B</t>
    </r>
    <r>
      <rPr>
        <sz val="10"/>
        <rFont val="Calibri"/>
        <family val="2"/>
        <charset val="238"/>
        <scheme val="minor"/>
      </rPr>
      <t xml:space="preserve">
5x S0PF56225957_Pal Z AL5 = 5,93 EUR/pc
</t>
    </r>
    <r>
      <rPr>
        <u/>
        <sz val="10"/>
        <rFont val="Calibri"/>
        <family val="2"/>
        <charset val="238"/>
        <scheme val="minor"/>
      </rPr>
      <t>L-B (based in CWT rail)</t>
    </r>
    <r>
      <rPr>
        <sz val="10"/>
        <rFont val="Calibri"/>
        <family val="2"/>
        <charset val="238"/>
        <scheme val="minor"/>
      </rPr>
      <t xml:space="preserve">
1x S0PF56226112_L-B Type L TG106 2 H50 = 13,75 EUR/pc
</t>
    </r>
    <r>
      <rPr>
        <u/>
        <sz val="10"/>
        <rFont val="Calibri"/>
        <family val="2"/>
        <charset val="238"/>
        <scheme val="minor"/>
      </rPr>
      <t>O-A2 (based in CAR and CWT rail)</t>
    </r>
    <r>
      <rPr>
        <sz val="10"/>
        <rFont val="Calibri"/>
        <family val="2"/>
        <charset val="238"/>
        <scheme val="minor"/>
      </rPr>
      <t xml:space="preserve">
5x S0PF56225837_O-A2 L 1002 106 2_T75_H50 = 13,18 EUR/pc</t>
    </r>
  </si>
  <si>
    <t>We need a drawing for the adaption or kindly select different reference, e.g. Z-AL0</t>
  </si>
  <si>
    <t xml:space="preserve">         187,60  / 188</t>
  </si>
  <si>
    <t>212,12/212</t>
  </si>
  <si>
    <t xml:space="preserve">306,47/307,- </t>
  </si>
  <si>
    <t>106,27 / 106</t>
  </si>
  <si>
    <t>198,34 / 199</t>
  </si>
  <si>
    <t>185,17 / 186</t>
  </si>
  <si>
    <t>132,38 / 133</t>
  </si>
  <si>
    <t>254,32 / 255</t>
  </si>
  <si>
    <t>267,40 / 268,-</t>
  </si>
  <si>
    <t>5+5</t>
  </si>
  <si>
    <t xml:space="preserve">77,68 + 7,47 </t>
  </si>
  <si>
    <t>504,05 / 505,-</t>
  </si>
  <si>
    <t>4,40+11,97</t>
  </si>
  <si>
    <t>111,04 / 111,-</t>
  </si>
  <si>
    <t xml:space="preserve"> ES5.0 </t>
  </si>
  <si>
    <t xml:space="preserve">    -&gt; out of our scope</t>
  </si>
  <si>
    <t xml:space="preserve">2 ks </t>
  </si>
  <si>
    <t>231,96 / 232</t>
  </si>
  <si>
    <t>89,70+1,07+13,38+0,49+7,28</t>
  </si>
  <si>
    <t>194,90/195</t>
  </si>
  <si>
    <t>7x100 S0PF56225567_Wire rope 1/8'' MIL-DTL 83 420 Type1 = 0,67 EUR/m
120x S0PF51968045_CWT FP A-snag P. 59372710 = 5,15 EUR/pc
120x S0PF57667572_CWT FP A-snag P. 57667589 T127-1/B = 5,15 EUR/pc
Is it single unit of wire with length of 700 meters, or multiple shorter units?
Both Antisnag protections contain SL4 Short sliding clips, kindly confirm or tell us which ones to supply.</t>
  </si>
  <si>
    <t>7X100+120+120</t>
  </si>
  <si>
    <t>0,67 + 5,15 +5,15</t>
  </si>
  <si>
    <t>1783,30 / 1783,-</t>
  </si>
  <si>
    <t>out of our scope</t>
  </si>
  <si>
    <t>Asc. 1  [11853372] - VI-01-2025-00002843 / Asc. 2 [11853373] - VI-01-2025-00002847 / Asc; 3 [11853374] - VI-01-2025-00002850</t>
  </si>
  <si>
    <t>GARE DE MIRAMAS</t>
  </si>
  <si>
    <t>SCS-X00452916-VS00</t>
  </si>
  <si>
    <t>brakety z EMESY - 4501566417 - CAI42017866</t>
  </si>
  <si>
    <t>Request for Non Standard Bracket size.</t>
  </si>
  <si>
    <t xml:space="preserve">Z-AL1E x 7 pcs. </t>
  </si>
  <si>
    <t>update 17.12.</t>
  </si>
  <si>
    <t>Schindler - Aintree Hospital</t>
  </si>
  <si>
    <t>Offer for Bracket 17122025</t>
  </si>
  <si>
    <t>9 KS</t>
  </si>
  <si>
    <t>ludovic.haueter@schindler.com</t>
  </si>
  <si>
    <t>163,71 / 164</t>
  </si>
  <si>
    <t xml:space="preserve">Ludovic Haueter </t>
  </si>
  <si>
    <t>DEU11828278 + DEU11828290</t>
  </si>
  <si>
    <t xml:space="preserve">Joerg Waidner </t>
  </si>
  <si>
    <t>4545739372 / 4545457928</t>
  </si>
  <si>
    <t>joerg.waidner@schindler.com</t>
  </si>
  <si>
    <t>9x 57642334 Z-CL6</t>
  </si>
  <si>
    <t>2x S0PFX1971326</t>
  </si>
  <si>
    <t>OF 800</t>
  </si>
  <si>
    <t>OF 900</t>
  </si>
  <si>
    <t>OF 1000</t>
  </si>
  <si>
    <r>
      <t xml:space="preserve">Item 900
</t>
    </r>
    <r>
      <rPr>
        <b/>
        <sz val="10"/>
        <color theme="5" tint="-0.249977111117893"/>
        <rFont val="Calibri"/>
        <family val="2"/>
        <charset val="238"/>
        <scheme val="minor"/>
      </rPr>
      <t>1x S0PFX1973696_O-B Bracket H BG1400 TG190 5 = 85,63 EUR/pc</t>
    </r>
    <r>
      <rPr>
        <sz val="10"/>
        <rFont val="Calibri"/>
        <family val="2"/>
        <charset val="238"/>
        <scheme val="minor"/>
      </rPr>
      <t xml:space="preserve">
4x S0PF00995050_Anchor bolt Hilti HSA-M16x117 BW kit = 1,07 EUR/pc
1x S0PF57642340_Z-CL9 = 13,38 EUR/pc
4x S0PF00995039_Anchor bolt Hilti HSA-M12x100 BW kit = 0,49 EUR/pc
1x S0PF51200046_Bag sliding clip SL4 Short (T89) (x8) = 7,28 EUR/pc</t>
    </r>
  </si>
  <si>
    <r>
      <t xml:space="preserve">Item 1000
</t>
    </r>
    <r>
      <rPr>
        <b/>
        <sz val="10"/>
        <color theme="5" tint="-0.249977111117893"/>
        <rFont val="Calibri"/>
        <family val="2"/>
        <charset val="238"/>
        <scheme val="minor"/>
      </rPr>
      <t>1x S0PFX1973696_O-B Bracket H BG1400 TG190 5 = 85,63 EUR/pc</t>
    </r>
    <r>
      <rPr>
        <sz val="10"/>
        <rFont val="Calibri"/>
        <family val="2"/>
        <charset val="238"/>
        <scheme val="minor"/>
      </rPr>
      <t xml:space="preserve">
4x S0PF00995050_Anchor bolt Hilti HSA-M16x117 BW kit = 1,07 EUR/pc
1x S0PF57642340_Z-CL9 = 13,38 EUR/pc
4x S0PF00995039_Anchor bolt Hilti HSA-M12x100 BW kit = 0,49 EUR/pc
1x S0PF51200046_Bag sliding clip SL4 Short (T89) (x8) = 7,28 EUR/pc</t>
    </r>
  </si>
  <si>
    <t>Randy Balde / Karthick Sekar</t>
  </si>
  <si>
    <t>7+2+14</t>
  </si>
  <si>
    <t>4,4+5,84+76,83</t>
  </si>
  <si>
    <t>132,40 / 132</t>
  </si>
  <si>
    <t xml:space="preserve">SCS-X00455094-VS00 </t>
  </si>
  <si>
    <t>Request for Offer for Replacement car buffers (DEU0011784383)</t>
  </si>
  <si>
    <t>VI-01-2025-00002962</t>
  </si>
  <si>
    <t>commission 20123167</t>
  </si>
  <si>
    <t>N°2 omega bracket O-A2 L 732 106 1 for guide T75-3/B / N°2 Z bracket Z-AL1E for guide H50</t>
  </si>
  <si>
    <t>VI-01-2025-00002960</t>
  </si>
  <si>
    <t>commission 20133573_CAP1</t>
  </si>
  <si>
    <t xml:space="preserve"> alberto.brambilla@schindler.com</t>
  </si>
  <si>
    <t xml:space="preserve">N°5 brackets Z-CH5 </t>
  </si>
  <si>
    <t>SCS-X00455318-VS00</t>
  </si>
  <si>
    <t>standard counterweight frame for one of our lifts.</t>
  </si>
  <si>
    <t>86,34 / 86</t>
  </si>
  <si>
    <t>SCS-X00455422-VS00</t>
  </si>
  <si>
    <t>SCS-X00455442-VS00</t>
  </si>
  <si>
    <t>1 ks</t>
  </si>
  <si>
    <t xml:space="preserve">291,79 / 292 </t>
  </si>
  <si>
    <t>brackets</t>
  </si>
  <si>
    <t>MSA</t>
  </si>
  <si>
    <t>Same extra content for all 3 commissons (3372; 3373; 3374)
1x S0PF51200046_Bag sliding clip SL4 Short (T89) (x8) = 7,28 EUR/pc
1x S0PFX7661042_Z-SE2 = 14,72 EUR/pc
1x S0PFX1971336_O-B Bracket H BG1002 TG160 2 = 70,25 EUR/pc</t>
  </si>
  <si>
    <t xml:space="preserve">170,55 / 171,- </t>
  </si>
  <si>
    <t>1+1+1</t>
  </si>
  <si>
    <t>7,28 + 14,72 + 70,25</t>
  </si>
  <si>
    <t>Boris-Nikolai Wolf / Guillaume Joud</t>
  </si>
  <si>
    <t xml:space="preserve">Jason Risdon </t>
  </si>
  <si>
    <t>Metro Rennes Project - brackets</t>
  </si>
  <si>
    <t xml:space="preserve">Luis-Miguel Rodriguez </t>
  </si>
  <si>
    <t>luis.rodriguez@schindler.com</t>
  </si>
  <si>
    <t>Metro Rennes Project - plates</t>
  </si>
  <si>
    <t>4 x plates id 5763759</t>
  </si>
  <si>
    <t xml:space="preserve"> COS 59001035 Brackets_Ae0_METRO DE RENNES_01</t>
  </si>
  <si>
    <t>TO UPDATE! 7.1.2026</t>
  </si>
  <si>
    <t xml:space="preserve">FTO </t>
  </si>
  <si>
    <t xml:space="preserve">brackets 2 pcs.  Z-CH14 instead Z-AL15 / 5 pcs. O-B H 1400 190 4    instead  O-B L 1400 190 4 </t>
  </si>
  <si>
    <t xml:space="preserve">Reto Pleisch </t>
  </si>
  <si>
    <t>additional extra cost for •	12 pcs. of Z-Bracket Type "Z-FH6 "</t>
  </si>
  <si>
    <t>SCS-X00456916-VS00</t>
  </si>
  <si>
    <t>WII0011865241</t>
  </si>
  <si>
    <t>WII0011865237</t>
  </si>
  <si>
    <t xml:space="preserve">2x S0PFX7646405 - Z-EH9 - 26,28 EUR/pc                                                                                                              1x S0PFX1972894 - L-B T160/190 3 - 26,44 EUR/pc                                                                                             1x S0PFX1971320 - O-B L850 160 3 - 70,88 EUR/pc                                                                                                        </t>
  </si>
  <si>
    <t>4 ks</t>
  </si>
  <si>
    <t>Nemáme ve SCOPE!</t>
  </si>
  <si>
    <t>7 ks</t>
  </si>
  <si>
    <t>2x S0PFX7850567 - Z-CH14 - 6,72 EUR/pc                                                                                                              5x S0PFX1973409 - O-B H 1400 190 4 - 79,7 EUR/pc</t>
  </si>
  <si>
    <r>
      <rPr>
        <sz val="8"/>
        <rFont val="Arial"/>
        <family val="2"/>
        <charset val="238"/>
      </rPr>
      <t xml:space="preserve">4 units of Omega-bracket O-C2 H 1002 190 2 </t>
    </r>
    <r>
      <rPr>
        <u/>
        <sz val="8"/>
        <rFont val="Arial"/>
        <family val="2"/>
        <charset val="238"/>
      </rPr>
      <t>and the needed mounting sling clips</t>
    </r>
    <r>
      <rPr>
        <sz val="8"/>
        <rFont val="Arial"/>
        <family val="2"/>
        <charset val="238"/>
      </rPr>
      <t>; and</t>
    </r>
    <r>
      <rPr>
        <sz val="8"/>
        <rFont val="Symbol"/>
        <family val="1"/>
        <charset val="238"/>
      </rPr>
      <t xml:space="preserve"> 4 units of Z-bracket Z-SE10 and the needed mounting sling clips.</t>
    </r>
  </si>
  <si>
    <r>
      <t xml:space="preserve">4 units of Omega-bracket O-C2 H 1002 190 2 </t>
    </r>
    <r>
      <rPr>
        <u/>
        <sz val="8"/>
        <rFont val="Arial"/>
        <family val="2"/>
        <charset val="238"/>
      </rPr>
      <t>and the needed mounting sling clips</t>
    </r>
    <r>
      <rPr>
        <sz val="8"/>
        <rFont val="Arial"/>
        <family val="2"/>
        <charset val="238"/>
      </rPr>
      <t>/4 units of Z-bracket Z-SE10 and the needed mounting sling clips</t>
    </r>
  </si>
  <si>
    <t>Corrosion protection (hot-dip galvanized material)</t>
  </si>
  <si>
    <t xml:space="preserve">Vedran Volic </t>
  </si>
  <si>
    <t>vedran.volic@schindler.com</t>
  </si>
  <si>
    <t>3x Omega brackets O-A1 L 1002 106 1 pasivovány CP 365  - S0PF56225796 - 12,29 EUR/pc</t>
  </si>
  <si>
    <t>2x O-B Bracket H BG1400 TG160 1 -  S0PFX1971326 - 73,34 EUR/pc</t>
  </si>
  <si>
    <t>2 ks</t>
  </si>
  <si>
    <t>3 ks</t>
  </si>
  <si>
    <t>ESP0020116508</t>
  </si>
  <si>
    <t xml:space="preserve">C.P. SERAFIN OLAVE 10-14E </t>
  </si>
  <si>
    <t>SCS-X00456859-VS00</t>
  </si>
  <si>
    <t xml:space="preserve">4x S0PFX1979595 - O-C2 H 1002 190 2 - 113,26 EUR/pc                                                                                     4x S0PF56014982 - CLIP SL4 - 1,05 EUR/pc                                                                                                        8x - Sliding clip SL4 short - 1,08 EUR/pc                                                                                                              4x S0PFX7661050 - Z-SE10 - 63,42 EUR/pc                                                                                    </t>
  </si>
  <si>
    <t xml:space="preserve">Davinia Sobradiel Vidal </t>
  </si>
  <si>
    <t>224,98 / 225</t>
  </si>
  <si>
    <t>115,17 / 115</t>
  </si>
  <si>
    <t>03.12.2025 / 13.1.2026 2nd part</t>
  </si>
  <si>
    <t>SCS-X00454547-VS00</t>
  </si>
  <si>
    <t>WII0020120040</t>
  </si>
  <si>
    <r>
      <t xml:space="preserve">11x S0PFX1973010_O-D Bracket H BG1400 TG160 1 = 133,56 EUR/pc                              
6x S0PFX7850590_Z-FH6 = 27,18 EUR/pc
6x S0PF51200045_Bag sliding clip SL3 Short (T75) (x8) = 5,84 EUR/pc                                                           </t>
    </r>
    <r>
      <rPr>
        <sz val="10"/>
        <color rgb="FFFF0000"/>
        <rFont val="Calibri"/>
        <family val="2"/>
        <charset val="238"/>
        <scheme val="minor"/>
      </rPr>
      <t>12x S0PFX7850590_Z-FH6 = 304,08 EUR/12 pcs</t>
    </r>
    <r>
      <rPr>
        <sz val="10"/>
        <rFont val="Calibri"/>
        <family val="2"/>
        <charset val="238"/>
        <scheme val="minor"/>
      </rPr>
      <t xml:space="preserve">                 </t>
    </r>
  </si>
  <si>
    <t xml:space="preserve">1745,58/1746 /// 382,39 / 382,- </t>
  </si>
  <si>
    <t>490,24 / 490</t>
  </si>
  <si>
    <t>reto.pleisch@schindler.com</t>
  </si>
  <si>
    <r>
      <t xml:space="preserve">9203A1952794 </t>
    </r>
    <r>
      <rPr>
        <i/>
        <sz val="8"/>
        <color theme="1"/>
        <rFont val="Calibri"/>
        <family val="2"/>
        <charset val="238"/>
        <scheme val="minor"/>
      </rPr>
      <t>Rung ladder L=3200 -</t>
    </r>
    <r>
      <rPr>
        <i/>
        <u/>
        <sz val="8"/>
        <color theme="1"/>
        <rFont val="Calibri"/>
        <family val="2"/>
        <charset val="238"/>
        <scheme val="minor"/>
      </rPr>
      <t xml:space="preserve"> aluminium</t>
    </r>
    <r>
      <rPr>
        <sz val="8"/>
        <color theme="1"/>
        <rFont val="Calibri"/>
        <family val="2"/>
        <charset val="238"/>
        <scheme val="minor"/>
      </rPr>
      <t xml:space="preserve"> / 557631971 Pit Ladder Length 3200mm cpl / Pit ladder and bracket must be in RAL9011 40%Gloss:</t>
    </r>
  </si>
  <si>
    <t>Martin Studeny / Jakub Koutný</t>
  </si>
  <si>
    <t>offer sent 28.1.2025 / updated 15.1.2026</t>
  </si>
  <si>
    <t>4223 EUR/1521,70 tj. 1522</t>
  </si>
  <si>
    <t>jakub.koutny@schindler.com</t>
  </si>
  <si>
    <t xml:space="preserve">Brackets: </t>
  </si>
  <si>
    <r>
      <t>10</t>
    </r>
    <r>
      <rPr>
        <sz val="10"/>
        <color theme="1"/>
        <rFont val="Arial"/>
        <family val="2"/>
        <charset val="238"/>
      </rPr>
      <t>x  S0PFX1973521  O-D Bracket H BG1400 TG190 2    </t>
    </r>
  </si>
  <si>
    <t xml:space="preserve">                                                 </t>
  </si>
  <si>
    <t>SCS-X00457305-VS00</t>
  </si>
  <si>
    <t xml:space="preserve">HAG0011866868 </t>
  </si>
  <si>
    <r>
      <t>Counterweight shoes</t>
    </r>
    <r>
      <rPr>
        <sz val="10"/>
        <color theme="1"/>
        <rFont val="Arial"/>
        <family val="2"/>
        <charset val="238"/>
      </rPr>
      <t xml:space="preserve"> </t>
    </r>
  </si>
  <si>
    <t>1x S01S51979262 - Side Panel Assy L=2073 - 23,20 EUR/pc</t>
  </si>
  <si>
    <t xml:space="preserve">4x S0PFX1979595 - O-C2 H 1002 190 2 - 113,26 EUR/pc                                                                                     4x S0PF56014982 - CLIP SL4 - 1,05 EUR/pc                                                                                                         8x - Sliding clip SL4 short - 1,08 EUR/pc                                                                                                                4x S0PFX7661050 - Z-SE10 - 63,42 EUR/pc                                                                                    </t>
  </si>
  <si>
    <t>2x S0PF56225911 - O-A2 L 732 106 1 for guide T75-3/B - 12,12 EUR/pc                                         2x S0PF50809689 - ZAL1E - 4,17 EUR/pc</t>
  </si>
  <si>
    <t>5x S0PF57619843 - Z-CH5 - 11,18 EUR/pc</t>
  </si>
  <si>
    <r>
      <t xml:space="preserve">1x S0PF56225739 - Z-AL2 (T75) - 4,8 EUR/pc                                                                                       </t>
    </r>
    <r>
      <rPr>
        <sz val="10"/>
        <color rgb="FFFF0000"/>
        <rFont val="Calibri"/>
        <family val="2"/>
        <charset val="238"/>
        <scheme val="minor"/>
      </rPr>
      <t xml:space="preserve">1x S0PF56225813 - O-A1 L 708/732 106 1_T75_H50 - Out of scope in CP365        </t>
    </r>
    <r>
      <rPr>
        <sz val="10"/>
        <rFont val="Calibri"/>
        <family val="2"/>
        <charset val="238"/>
        <scheme val="minor"/>
      </rPr>
      <t xml:space="preserve">                           2x S0PF50807781 - Bag 8 un sliding clip SL50_25 (H50) - 1,6 EUR/pc                                                2x S0PF51200045 - Bag sliding clip SL3 short (T75) (x8) - 5,78 EUR/pc                                              6x S0PF00993423 - Anchor bolt Hilti HST3-M12x115/20 BW kit - 0,81 EUR/pc                                 </t>
    </r>
    <r>
      <rPr>
        <sz val="10"/>
        <color rgb="FFFF0000"/>
        <rFont val="Calibri"/>
        <family val="2"/>
        <charset val="238"/>
        <scheme val="minor"/>
      </rPr>
      <t>2x S0PF59383725 - Fishplates for T75-3/B with screws - Out of scope in CP357                               2x Fishplates for H50 with screws - Out of scope</t>
    </r>
  </si>
  <si>
    <t>Viz mail s přílohou</t>
  </si>
  <si>
    <t>1x 51979262 - Side Panel Assy L=2073 -16ks</t>
  </si>
  <si>
    <t>449,50/450</t>
  </si>
  <si>
    <t>102,72 / 103</t>
  </si>
  <si>
    <t>797,86 / 798,-</t>
  </si>
  <si>
    <t>134,20 / 134</t>
  </si>
  <si>
    <t>111,04 / 111</t>
  </si>
  <si>
    <t>12,12 / 4,17</t>
  </si>
  <si>
    <t>16.01.2026/   19.1.2026</t>
  </si>
  <si>
    <t>VI-01-2025-00002969</t>
  </si>
  <si>
    <t>cwt frame 59001033</t>
  </si>
  <si>
    <t>4548899693
4548899692</t>
  </si>
  <si>
    <t xml:space="preserve">Shalandra Nandkumar </t>
  </si>
  <si>
    <t>shalandra.nandkumar@schindler.com</t>
  </si>
  <si>
    <t>VI-01-2026-00000010</t>
  </si>
  <si>
    <t>HGR reduction to 2800mm</t>
  </si>
  <si>
    <t>VI-01-2026-00000156</t>
  </si>
  <si>
    <t>VI-01-2026-00000157</t>
  </si>
  <si>
    <t>1x S0PFX7642165 - Brake unit WSBOX GGM43 left CPL. - 1565,24 EUR/pc                                                                                                    4x S0PFX7660861 - Panoramic cover CWT  - 39,7 EUR/pc                                                                 2x S0PFX7646869 - Upright T51_BG_HGR_GG_TG - 77,78 EUR/pc                                                    2x S0PFX7646857 - P box welded_ZZ2_PV_GG_TG_PML - 37,54 EUR/pc                                          1x S0PFX7648050 - Lower yoke T52 welded assembly - 150,16 EUR/pc                                         1x S0PFX7646867 - Upper yoke TX BG_TG_LSTM4_PML cpl - 98,53 EUR/pc                                   4x S0PFX0807535 - MM_GSL_I10_BFK10 Safety guide shoe - 10,12 EUR/pc</t>
  </si>
  <si>
    <t>SCS-X00456916-VS01</t>
  </si>
  <si>
    <t>2 units of Omega brackets and 2 units of Z-brackets and their sliding/mounting clips.</t>
  </si>
  <si>
    <t>SCS-X00456859-VS01</t>
  </si>
  <si>
    <t>2322,19/2322,-</t>
  </si>
  <si>
    <t xml:space="preserve">2x S0PFX1979595 - O-C2 H 1002 190 2 - 113,26 EUR/pc                                                                                     2x S0PF56014982 - CLIP SL4 - 1,05 EUR/pc                                                                                                         4x - Sliding clip SL4 short - 1,08 EUR/pc                                                                                                                2x S0PFX7661050 - Z-SE10 - 63,42 EUR/pc                                                                                    </t>
  </si>
  <si>
    <t>438,08 / 438,-</t>
  </si>
  <si>
    <t>2x S0PF57642328 - Z-CL3 - 6,84 EUR/pc                                                                                                 2x S0PFX1971312 - O-B-L 1002 160 3 for cwt guide rail T75-3/B - 72,54 EUR/pc</t>
  </si>
  <si>
    <t>ENG čeká na odpověď na dotaz - viz mail</t>
  </si>
  <si>
    <t>SCS-X00459989-VS00</t>
  </si>
  <si>
    <t xml:space="preserve">HAG0011866870 </t>
  </si>
  <si>
    <t>4 units - 920759347898 R3CW Roller guide shoes</t>
  </si>
  <si>
    <t>WII0020120042</t>
  </si>
  <si>
    <t xml:space="preserve">1 Unit 51979881 Side Panel Assy L=1163 </t>
  </si>
  <si>
    <t>1159,70 / 1160</t>
  </si>
  <si>
    <t>SCS-X00458035-VS00</t>
  </si>
  <si>
    <t>VI-01-2026-00000218</t>
  </si>
  <si>
    <t>N°4 brackets O-A2 L 708/732 106 1 for car and cwt and relative fishplate and accessories</t>
  </si>
  <si>
    <t>N°4 brackets Z-AL1E for car and relative fishplate and accessories</t>
  </si>
  <si>
    <t>237,06 / 237</t>
  </si>
  <si>
    <t>4x S0PF59347898 - R3CW Roller guide shoes - 75,09 EUR/pc</t>
  </si>
  <si>
    <t>1x S01SX1979881 - Side Panel assy L=1163 - 37,89 EUR/pc</t>
  </si>
  <si>
    <t>4x S0PF56225898 - O-A2 L 708/732 106 1 H50 - 11,99 EUR/pc</t>
  </si>
  <si>
    <t xml:space="preserve">4x S0PF50809689 - Z-AL1E - 4,17 EUR/pc                                                                          </t>
  </si>
  <si>
    <t>relative fishplate and accessories</t>
  </si>
  <si>
    <t>12x S0PF59383725 - Fishplate SET T75-3/B - 11,16 EUR/pc</t>
  </si>
  <si>
    <t>378,66 / 379</t>
  </si>
  <si>
    <t>ABSOLUTE 900 - 400702966-100</t>
  </si>
  <si>
    <t xml:space="preserve">Gabriel Wey </t>
  </si>
  <si>
    <t>gabriel.wey@schindler.com</t>
  </si>
  <si>
    <t>116,19 / 116</t>
  </si>
  <si>
    <t>273,86 / 274</t>
  </si>
  <si>
    <t>cos ES5</t>
  </si>
  <si>
    <t>SCS-X00460232-VS00</t>
  </si>
  <si>
    <t>RFQ complete new cwt frame incl. pulley assembly and safety gear. ref. attached COS and drawings.</t>
  </si>
  <si>
    <t>SCS-X00460336-VS00</t>
  </si>
  <si>
    <t>RFQ new Machine support considering changed cwt rail type (T75-3/B) and type/numbers of STM (4 x STMPV30). Please see attached COS and drawings.</t>
  </si>
  <si>
    <t xml:space="preserve"> SCS-X00460337-VS00</t>
  </si>
  <si>
    <t>RFQ new Fix points considering changed cwt rail type (T75-3/B) and type/numbers of STM (4 x STMPV30). Please see attached COS and drawings.</t>
  </si>
  <si>
    <t>SCS-X00460342-VS00</t>
  </si>
  <si>
    <t>RFQ 2pcs. New car buffer stands, new height HSS1=791mm for replacement on comm.no. REB0020136733</t>
  </si>
  <si>
    <t>SCS-X00459726-VS00</t>
  </si>
  <si>
    <t>Project Brobekkveien 80 - Safety gear on CW - REB0020136733</t>
  </si>
  <si>
    <t>SCS-X00459055-VS00</t>
  </si>
  <si>
    <t>1x ID: 57660992/1x ID: 57660993/1x ID: 57675253</t>
  </si>
  <si>
    <t xml:space="preserve">Project 11829825 | Befestigungwinke / DEU0011829825 </t>
  </si>
  <si>
    <t>Gdyně</t>
  </si>
  <si>
    <t>OBJ. NEZPRACOVÁNA TECH.ODDĚLENÍM</t>
  </si>
  <si>
    <t>2X 2x S0PFX1971326</t>
  </si>
  <si>
    <t>18.12.2025/3.2.2026</t>
  </si>
  <si>
    <t>požadují 16ks</t>
  </si>
  <si>
    <t>čekáme na COS v PDF od zákazníka</t>
  </si>
  <si>
    <t>SCS-X00461498-VS00</t>
  </si>
  <si>
    <t>MIL0011823215</t>
  </si>
  <si>
    <t>VI-01-2026-00000275</t>
  </si>
  <si>
    <t>N°1 omega bracket  O-A2 L 1002 106 1 + N°1 Z bracket Z-AL6</t>
  </si>
  <si>
    <t>2x S0PFX1971326 - O-B H BG1400 TG160 1 - 73,34 EUR/pc                                                               2x S0PFX1971326 - O-B H BG1400 TG160 1 - 73,34 EUR/pc</t>
  </si>
  <si>
    <t>SCS-X00461706-VS00</t>
  </si>
  <si>
    <t>4 PIECES 51965322 FLOOR SUPPORT</t>
  </si>
  <si>
    <t xml:space="preserve">MIL0011834287 </t>
  </si>
  <si>
    <t>SCS-X00461678-VS00</t>
  </si>
  <si>
    <t>WII0011763552 - ETA-316348</t>
  </si>
  <si>
    <t xml:space="preserve">S0PF50801353+S0PFX1971329 </t>
  </si>
  <si>
    <t>15.08.2025 / 5.2.2026</t>
  </si>
  <si>
    <t>K + MSA</t>
  </si>
  <si>
    <t>27,80 + 79,36</t>
  </si>
  <si>
    <t>changes to the Omega bracket type O -B H 1400 160 4 wall plate and Z-CH9 wall bracket</t>
  </si>
  <si>
    <t>Modified wall interface slots according to documentation:
S00F50801353   Z-CH9.DE
S0PFX1971329   O-B H BG1400 TG160 4</t>
  </si>
  <si>
    <t xml:space="preserve"> UPDATE - 2.2.2026</t>
  </si>
  <si>
    <t>S0PF51975302  OKKAT foldable ladder kit L=2600           178,42 EUR/pc</t>
  </si>
  <si>
    <t>256,72 / 257</t>
  </si>
  <si>
    <t>čekáme na B2B objednávku - Laura</t>
  </si>
  <si>
    <t xml:space="preserve">out of scope </t>
  </si>
  <si>
    <t>update 5.2.2026</t>
  </si>
  <si>
    <t>1x S0PF50809689 - Z-AL1E T75 or T89LH - 4,17 EUR/pc                                                                       1x S0PF56225844 - O-A2 L 1002 106 4_T75_H75/T75 - 20,08 EUR/pc                                     Sliding clips + mounting accesorries -  7,62 EUR</t>
  </si>
  <si>
    <t>1x S0PF56225829 - 0-A2 L 1002 106 1_T75_H75/T75 - 13,86 EUR/pc                                                  1x S0PF57632063 - Z-AL6 - 6,5 EUR/pc                                                                                                     Sliding clips + mounting accesorries - 7,62 EUR</t>
  </si>
  <si>
    <t xml:space="preserve">2 Brackets Z-EH3 +2 Brackets Z-EH4 </t>
  </si>
  <si>
    <t>For Metro Rennes Project</t>
  </si>
  <si>
    <t>Metro Project  Madrid</t>
  </si>
  <si>
    <t>Type 1 – 304043355 and Type 2 304044211</t>
  </si>
  <si>
    <t>SCS-X00461428-VS00</t>
  </si>
  <si>
    <t>Project RFQ - 9270 - IST0020110268</t>
  </si>
  <si>
    <t>106,28 / 106</t>
  </si>
  <si>
    <t>110,17 / 110</t>
  </si>
  <si>
    <t>VI-01-2026-00000370</t>
  </si>
  <si>
    <t>PAR0011809733</t>
  </si>
  <si>
    <t xml:space="preserve"> jesus.alvarez@schindler.com</t>
  </si>
  <si>
    <t>Schindler Aufzüge AG </t>
  </si>
  <si>
    <t xml:space="preserve">Messaoud Nouri </t>
  </si>
  <si>
    <t>messaoud.nouri@schindler.com</t>
  </si>
  <si>
    <t>PAR 11876296</t>
  </si>
  <si>
    <t xml:space="preserve">HEIGHT OF CWT FRAME (HGR) SPECIFIC - HGR = 3200 mm </t>
  </si>
  <si>
    <t>PIT SET - SPECIFIC</t>
  </si>
  <si>
    <r>
      <t xml:space="preserve">1x S0PFX7660992 - CWT Rail Support Seismic Assy - 7,93 EUR/pc                                              1x S0PFX7660993 - CWT Rail support Non Seismic Assy - 7,93 EUR/pc                                    </t>
    </r>
    <r>
      <rPr>
        <sz val="10"/>
        <color rgb="FFFF0000"/>
        <rFont val="Calibri"/>
        <family val="2"/>
        <charset val="238"/>
        <scheme val="minor"/>
      </rPr>
      <t>1x 57675253 - NOT IN SCOPE</t>
    </r>
  </si>
  <si>
    <t>1x S0PF56226273 - Fixpoint support type 3 T75 right cpl. - 29,28 EUR/pc                                  1x S0PF56225999 - Slack STM Switch 4xPV30 cpl. 3,6m - 21,21 EUR/pc</t>
  </si>
  <si>
    <t>2x S0PF49110236 - St_Buf_D0D2-HSS1-1100_LFKP82 T75 - 41,68 EUR/pc</t>
  </si>
  <si>
    <t>2x S0PFX7646387 - Z-EH3 - 10,15 EUR/pc                                                                                            2x S0PFX7646390 - Z-EH4 - 13,39 EUR/pc</t>
  </si>
  <si>
    <t>125,38 / 125</t>
  </si>
  <si>
    <t>94,16 / 94</t>
  </si>
  <si>
    <t>161,66 / 162</t>
  </si>
  <si>
    <t>128,79 / 129</t>
  </si>
  <si>
    <t>Čekám na odpověď</t>
  </si>
  <si>
    <t>1x S0PF56226305 - 88,96 EUR/pc                                                                              1x S0PF56225962 - 22,89 EUR/pc                                                                                   1x S0PF56225641 - 5,49 EUR/pc                                                                             1x S0PF57812808 - 3,4 EUR/pc                                                                                         1x S0PF59502582 - 10,26 EUR/pc</t>
  </si>
  <si>
    <t>1x S0PF56225724 - 939,79 EUR/pc                                                                                 1x S0PF56225620 - 52,56 EUR/pc</t>
  </si>
  <si>
    <t>209,30 /209</t>
  </si>
  <si>
    <t>1070,65 / 1071</t>
  </si>
  <si>
    <t>CANCELLED FROM CUSTOMER´S SIDE 17.2.2026</t>
  </si>
  <si>
    <t>Excel file zaslán na Sales</t>
  </si>
  <si>
    <t>1x S0PF56226321 - CWT ACCESSORIES BOX PV40 BFK30 ZZ2 - 116,13 EUR/pc</t>
  </si>
  <si>
    <t>194,43 / 194</t>
  </si>
  <si>
    <t>661,97 / 662</t>
  </si>
  <si>
    <t>SAC 2 Brackets</t>
  </si>
  <si>
    <r>
      <t xml:space="preserve">SKU </t>
    </r>
    <r>
      <rPr>
        <b/>
        <sz val="11"/>
        <color theme="1"/>
        <rFont val="Calibri"/>
        <family val="2"/>
        <charset val="238"/>
        <scheme val="minor"/>
      </rPr>
      <t>je pasivováno dle CP365!</t>
    </r>
  </si>
  <si>
    <t>Metro Rennes Project</t>
  </si>
  <si>
    <t>2 Brackets O-B L 850 160 4/COS 59001035,</t>
  </si>
  <si>
    <t>2  Brackets O-B L 850 160 4</t>
  </si>
  <si>
    <t xml:space="preserve"> SCS-X00461500-VS00</t>
  </si>
  <si>
    <t>Id.Nr.57850555- 6 units Z-AL15 with sliding Clip SL3 (short)</t>
  </si>
  <si>
    <t>SCS-X00466245-VS00</t>
  </si>
  <si>
    <t>640532667 - MIL0020121182</t>
  </si>
  <si>
    <t>1 x S0PFAB201451 Kit rung ladder.Bernstein/Omron switch</t>
  </si>
  <si>
    <t>VI-01-2026-00000502</t>
  </si>
  <si>
    <t xml:space="preserve">VI-01-2026-00000503 </t>
  </si>
  <si>
    <t>DEU0020132344</t>
  </si>
  <si>
    <t xml:space="preserve">DEU0020132342 </t>
  </si>
  <si>
    <t>1x Omega Bracket O-D H 1400 190 1 (ID 51973520, Fixation: Anchor bolts)</t>
  </si>
  <si>
    <t>2x pair of L-Brackets L-A L 106 1 (ID 51971280, Fixation: Anchor bolts)</t>
  </si>
  <si>
    <t>2x S0PFX1971321- O-B Bracket L BG850 TG160 4 - 71,51 EUR/pc</t>
  </si>
  <si>
    <t>PHO</t>
  </si>
  <si>
    <t>6x S0PFX7850555 - Z-AL 15 - 8,53 EUR/pc
12x S0PF52513617 - SL3 Short (T75) (x1) - 0,96 EUR/pc</t>
  </si>
  <si>
    <t>19.02.2026 / 25.2.2026</t>
  </si>
  <si>
    <t>pasivovaný CP365</t>
  </si>
  <si>
    <t>SCS-X00466580-VS00</t>
  </si>
  <si>
    <t xml:space="preserve">640532108 - MIL0020114307 - </t>
  </si>
  <si>
    <t>Fixing bracket and floor ladder lock</t>
  </si>
  <si>
    <t>S0PF51975302 OKKAT foldable ladder kit L=2600            178,42 EUR/pc</t>
  </si>
  <si>
    <t>S0PFAB201451 Kit rung ladder.Bernstein/Omron switch               27,64 EUR/pc</t>
  </si>
  <si>
    <t>105,94 / 106</t>
  </si>
  <si>
    <t>.I.S.E Anpassung CZ11863091.342a-b Ae03</t>
  </si>
  <si>
    <t>29 LIFTS</t>
  </si>
  <si>
    <t>VIZ ř. 265</t>
  </si>
  <si>
    <t>1x S0PFX1973520 - O-D Bracket H BG1400 TG190 1 - 128,54 EUR/pc
4x S0PF00993423 - Anchor bolt Hilti HST3-M12x115/20 BW kit - 0,81 EUR/pc
2x S0PF52513618 - SL4 Short (T89/T127-1) (x1)  - 1,08 EUR/pc
1x S0PF51200048 - Bag sliding clip SL2 (T75 CTW) (x8) - 3,9EUR/pc</t>
  </si>
  <si>
    <t xml:space="preserve">2x S0PF56225732 - L Bracket-A L 106 1- 8,41 EUR/pc
4x S0PF00993423 - Anchor bolt Hilti HST3-M12x115/20 BW kit - 0,81 EUR/pc
1x S0PF51200048 - Bag sliding clip SL2 (T75 CTW) (x8) - 3,9EUR/pc
</t>
  </si>
  <si>
    <t>VI-01-2026-00000534</t>
  </si>
  <si>
    <t>commission 20126760</t>
  </si>
  <si>
    <t>N°2 brackets for car and CWT O-A2 L 850 106 1+N°2 brackets for car Z-AL3</t>
  </si>
  <si>
    <t>776,27+47,85+1175,01+78,3</t>
  </si>
  <si>
    <t>1797,67+47,85+1175,01+78,3</t>
  </si>
  <si>
    <t xml:space="preserve">774,55 extra cost for testing - zinc coating </t>
  </si>
  <si>
    <t>216,14 / 216</t>
  </si>
  <si>
    <t>102,26 / 102</t>
  </si>
  <si>
    <t>Láďa</t>
  </si>
  <si>
    <t>VI-01-2026-00000575</t>
  </si>
  <si>
    <t>commessa 11775290</t>
  </si>
  <si>
    <t>SCS-X00465911-VS00</t>
  </si>
  <si>
    <t xml:space="preserve">UKC0011828395 </t>
  </si>
  <si>
    <t xml:space="preserve">counterweight frame </t>
  </si>
  <si>
    <t>20 brackets Z-CH5</t>
  </si>
  <si>
    <t>Commission 20140125</t>
  </si>
  <si>
    <t xml:space="preserve"> a Alberto Brambilla</t>
  </si>
  <si>
    <t>Federica Artuso</t>
  </si>
  <si>
    <t>20x S0PF57619843 - Z-CH5 - 11,18 EUR/pc</t>
  </si>
  <si>
    <t>1x S0PF56225631 - GG41 BG1002 TG106 B4 HGR2440 frame welde - 151,31 EUR/pc</t>
  </si>
  <si>
    <t>VI-01-2026-00000625</t>
  </si>
  <si>
    <t>commission 11930347</t>
  </si>
  <si>
    <t>N°1 Z-AL1E / N°1 O-A2 L 708/732 106 1 / N°1 connection plate id. n. 51971944</t>
  </si>
  <si>
    <t>SCS-X00460614-VS00</t>
  </si>
  <si>
    <t xml:space="preserve">DES0011872157 </t>
  </si>
  <si>
    <t>cable channels / ducts:</t>
  </si>
  <si>
    <t>federica.artuso@schindler.com</t>
  </si>
  <si>
    <t>229,61 / 230</t>
  </si>
  <si>
    <t>301,9 / 302</t>
  </si>
  <si>
    <t>VI-01-2026-00000605</t>
  </si>
  <si>
    <t>VI-01-2026-0000639</t>
  </si>
  <si>
    <t>commission 11912258</t>
  </si>
  <si>
    <t>SCS-X00466140-VS00</t>
  </si>
  <si>
    <t>HAG0011686007</t>
  </si>
  <si>
    <t>VI-01-2026-0000647</t>
  </si>
  <si>
    <t>N°6 O-A2 L 1002 106 5 / N°6 Z-AL2</t>
  </si>
  <si>
    <t>wertheim offer</t>
  </si>
  <si>
    <t>1x S0PF50809689 - Z-AL1E T75 or T89LH - 4,17 EUR/pc
1x S0PF56225898 - O-A2 L 708/732 106 1_T75_H50 - 11,99 EUR/pc
1x S0PF51971944 - Connection Plate without FF3 cpl - 11,28 EUR/pc</t>
  </si>
  <si>
    <t>6x S0PF56225857 - O-A2 L 1002 106 5_T89_H75/T75 - 22,8 EUR/pc
6x S0PF56225739 - Z-AL2 T75 - 4,80 EUR/pc</t>
  </si>
  <si>
    <t xml:space="preserve">PHO </t>
  </si>
  <si>
    <t>teodora.nastase@schindler.com</t>
  </si>
  <si>
    <t>OFFER REQUEST - BRACKETS - NEW PROMENADA LFT 1</t>
  </si>
  <si>
    <t> 4 x Z- EH5  / -	4  x  O-B H 1400 190 3</t>
  </si>
  <si>
    <t xml:space="preserve"> VI-01-2026-00000499</t>
  </si>
  <si>
    <t xml:space="preserve">PAR0011827825 </t>
  </si>
  <si>
    <t>243,90 / 244</t>
  </si>
  <si>
    <t>22,80 / 4,8</t>
  </si>
  <si>
    <t>4,17/11,99/11,28</t>
  </si>
  <si>
    <t>105,75 / 106</t>
  </si>
  <si>
    <t>28x S0PFX1973521 - O-D Bracket H BG1400 TG190 2 - 132,74 EUR/pc</t>
  </si>
  <si>
    <t>3795,02 / 3795</t>
  </si>
  <si>
    <t>2x S0PF56225864 - O-A2 L 850 106 1_T75_H50 - 12,93 EUR/pc
2x S0PF56225955 - Z-AL3 - 6,21 EUR/pc
6x S0PF52513617 - SL3 Short (T75) (x1) - 0,96 EUR/pc</t>
  </si>
  <si>
    <t>1x S0PF56225617 - CWT ACCESSORIES BOX 2 STM BFK30 - 71,20 EUR/pc</t>
  </si>
  <si>
    <t>149,50/ 150</t>
  </si>
  <si>
    <t>12,93/6,21/0,96</t>
  </si>
  <si>
    <t>122,32 / 122</t>
  </si>
  <si>
    <t xml:space="preserve">4549582767
4549582762  </t>
  </si>
  <si>
    <t>4x S0PFX1973408 - O-B Bracket H BG1400 TG190 3 - 76,14 EUR/pc
4x S0PFX7646393 - Z-EH5 - 13,60 EUR/pc</t>
  </si>
  <si>
    <t>383/133</t>
  </si>
  <si>
    <t>BUC0011916171 /SCS-X00469186-VS00 / SCS-X00469185-VS00</t>
  </si>
  <si>
    <t xml:space="preserve">4549600496
4549601286 </t>
  </si>
  <si>
    <t xml:space="preserve"> SCS-00469187-VS00/SCS-00469188-VS00/SCS-00469189-VS00</t>
  </si>
  <si>
    <t>Low carbon emission ELV - Offer request SAC _ Bracket + pit set</t>
  </si>
  <si>
    <t>update 19.3.2026</t>
  </si>
  <si>
    <t>ř 436 a 437</t>
  </si>
  <si>
    <t>SCS-X00469891-VS00</t>
  </si>
  <si>
    <t xml:space="preserve">DEU0011802047 </t>
  </si>
  <si>
    <t xml:space="preserve">S0PFX7659380 + S01S51946716 </t>
  </si>
  <si>
    <t>19..2026</t>
  </si>
  <si>
    <t>102,60 / 103</t>
  </si>
  <si>
    <t>viz mail</t>
  </si>
  <si>
    <t>659,24 / 659</t>
  </si>
  <si>
    <t xml:space="preserve">Matteo Donati </t>
  </si>
  <si>
    <t>1x S01SA7611483 -Pulley assembly PV40 ZZR2 no zinc - 61,8 EUR/pc</t>
  </si>
  <si>
    <t>140,1 / 140</t>
  </si>
  <si>
    <t xml:space="preserve"> SCS-X00470601-VS00</t>
  </si>
  <si>
    <t xml:space="preserve">BUC0011912469 </t>
  </si>
  <si>
    <t>BUC0011912464</t>
  </si>
  <si>
    <t>BUC0011912458</t>
  </si>
  <si>
    <t>BUC0011912451</t>
  </si>
  <si>
    <t>so 36321</t>
  </si>
  <si>
    <t xml:space="preserve">Mihaita Stanciu </t>
  </si>
  <si>
    <t>&lt;mihaita.stanciu@schindler.com&gt;</t>
  </si>
  <si>
    <t>11876543 VASILE LUPU / COUNTERWEIGHT COVER</t>
  </si>
  <si>
    <t>BUC0011876543 / Schindler Romania SRL</t>
  </si>
  <si>
    <t>SNCF Offer request: GARE D'AUSTERLITZ - M3</t>
  </si>
  <si>
    <t xml:space="preserve">Counterweight Frame </t>
  </si>
  <si>
    <t>PAR 11876300 - PIT SET - SPECIFIC</t>
  </si>
  <si>
    <t>PAR 11876298 - PIT SET - SPECIFIC</t>
  </si>
  <si>
    <t>59001045 COS Pit Set</t>
  </si>
  <si>
    <t>11841590  - viz offer ř. 189 - update</t>
  </si>
  <si>
    <t xml:space="preserve">Delta VO-01-2025-00000782 &amp; • 813698492 - Falk Areal Freiburg </t>
  </si>
  <si>
    <t>COS Fix point - cp 269</t>
  </si>
  <si>
    <t>ESP0011862780 - Escalera descatalogada (SCS 700352745)</t>
  </si>
  <si>
    <t>rosana.legido@schindler.com</t>
  </si>
  <si>
    <t>Rosana Legido / Ramiro</t>
  </si>
  <si>
    <t>S0PF57631968 / S0PF49110257</t>
  </si>
  <si>
    <t>39,02 + 30,12</t>
  </si>
  <si>
    <t>147,44 / 147</t>
  </si>
  <si>
    <t>1x S0PFX1962494 Stingl Fold Ladder - L=4000mm (Var) - 491,17 EUR/pc</t>
  </si>
  <si>
    <t>Čekáme na COS</t>
  </si>
  <si>
    <t>1 x 50 m - 920700000010 - 0,7 EUR/m</t>
  </si>
  <si>
    <t xml:space="preserve">50m </t>
  </si>
  <si>
    <t>COS 11876543</t>
  </si>
  <si>
    <t>1291,13 / 1290</t>
  </si>
  <si>
    <t>31 ks</t>
  </si>
  <si>
    <t>S0PFX1962494</t>
  </si>
  <si>
    <t>20% MH</t>
  </si>
  <si>
    <t>569,47 / 570</t>
  </si>
  <si>
    <t>matteo.donati@schindler.com</t>
  </si>
  <si>
    <t>VI-01-2026-00000805</t>
  </si>
  <si>
    <t>Commessa 20138094</t>
  </si>
  <si>
    <t xml:space="preserve">N°3 O-A2 L 708/732 106 1  + N°3 Z -AL1 </t>
  </si>
  <si>
    <t>SCS-X00470487-VS00</t>
  </si>
  <si>
    <t>1x S0PF51971813 - Traction media support LT.T1.Assy - 25,15 EUR/pc</t>
  </si>
  <si>
    <t>3x S0PF56225898 - O-A2 L 708/732 106 1_T75_H50 - 11,99 EUR/pc
3x S0PF56226483 - PAL Z AL 1-13 CL 1-13 T75 - 4,55 EUR/pc
3x S0PF51200045 - Bag sliding clip SL3 Short (T75) (x8) - 5,78 EUR/pc
2x S0PF56303684 - Pair fishplates guide T75-3/B w screws - 7,43 EUR/pc
2x S0PF56303719 - FISHPLATE H50 HARDWARE BAG - 0,44 EUR/pc</t>
  </si>
  <si>
    <t>SCS-X00472322-VS00</t>
  </si>
  <si>
    <t xml:space="preserve">PAR0020134793 </t>
  </si>
  <si>
    <t>Julien Lamarca</t>
  </si>
  <si>
    <t xml:space="preserve"> &lt;julien.lamarca@schindler.com&gt;</t>
  </si>
  <si>
    <t>AEROPORT DE BORDEAUX MERIGNAC (AÉROPORT 1B)</t>
  </si>
  <si>
    <t xml:space="preserve">PAR0020134794 </t>
  </si>
  <si>
    <t>AEROPORT DE BORDEAUX MERIGNAC (AÉROPORT 1A)</t>
  </si>
  <si>
    <t>ABSOLUTE</t>
  </si>
  <si>
    <t xml:space="preserve">Additional Prices for the Modernist - Rotterdam / Lift 9 </t>
  </si>
  <si>
    <t>Additional Prices for the Modernist - Rotterdam - Lift 10</t>
  </si>
  <si>
    <t>Additional Prices for the Modernist - Rotterdam - Lift 11</t>
  </si>
  <si>
    <t xml:space="preserve">Ron Vlielander </t>
  </si>
  <si>
    <t>&lt;ron.vlielander@schindler.com&gt;</t>
  </si>
  <si>
    <t>1x S0PF51975302 - OKKAT foldable ladder kit L=2600 - 178,42 EUR/</t>
  </si>
  <si>
    <t xml:space="preserve"> &lt;mark.watters@schindler.com&gt;</t>
  </si>
  <si>
    <t>Request for Pit Ladder Offer for Block C Lift L1FF</t>
  </si>
  <si>
    <t xml:space="preserve">Ansar Aboo Hameed </t>
  </si>
  <si>
    <t>&lt;ansar.aboo.hameed@schindler.com&gt;</t>
  </si>
  <si>
    <t>UKC0011914988</t>
  </si>
  <si>
    <t>727,26 / 727</t>
  </si>
  <si>
    <t>1x S0PFX1973192 - O-C Bracket H BG1400 TG190 4 - 109,82 Eur/pc
1x S0PF5A372157 - Bag sliding clip SL5 Short  (x8) - 14,09 EUR/pc
1x S0PFX7646432 - Z-EL11 - 7,20 EUR/pc
1x S0PF51200048 - Bag sliding clip SL2 (T75 CTW) (x8) - 3,9 EUR/pc
2x S0PF00993423 - Anchor bolt Hilti HST3-M12x115/20 BW kit - 0,81 EUR/pc
4x S0PF51200865 - Anchor bolt Hilti HST M16x140 BW D50 kit - 3,44 EUR/pc</t>
  </si>
  <si>
    <t>228,69 / 229</t>
  </si>
  <si>
    <t>SNCF Offer request: GARE DE CLAMART - 11857197</t>
  </si>
  <si>
    <t>Mickael Mazarin</t>
  </si>
  <si>
    <t xml:space="preserve"> &lt;mickael.mazarin@schindler.com&gt;</t>
  </si>
  <si>
    <t>13.4.2026 upřesnění</t>
  </si>
  <si>
    <t>Request for Pit Ladder Offer for Block E Lift L1FF</t>
  </si>
  <si>
    <t>UKC0011914996</t>
  </si>
  <si>
    <t>out of scope rollers MM GSR 100; ostatní díly připravit nabíku</t>
  </si>
  <si>
    <r>
      <t xml:space="preserve">Stoneyard, birmingham-Phase1 / </t>
    </r>
    <r>
      <rPr>
        <b/>
        <sz val="8"/>
        <rFont val="Calibri"/>
        <family val="2"/>
        <charset val="238"/>
        <scheme val="minor"/>
      </rPr>
      <t>UKC0011914996</t>
    </r>
  </si>
  <si>
    <r>
      <t xml:space="preserve">Project: Stoneyard, birmingham-Phase1 / </t>
    </r>
    <r>
      <rPr>
        <b/>
        <sz val="8"/>
        <rFont val="Calibri"/>
        <family val="2"/>
        <charset val="238"/>
        <scheme val="minor"/>
      </rPr>
      <t>UKC0011914988</t>
    </r>
  </si>
  <si>
    <t>SCS-X00471737-VS00</t>
  </si>
  <si>
    <t>SCS-X00471736-VS00</t>
  </si>
  <si>
    <t>2 Pcs Pedestal with pulley unit according Z__41377671</t>
  </si>
  <si>
    <t>1 Pc Chain guide 60x60 cpl. according Z__41372351 - ID. 59372351</t>
  </si>
  <si>
    <t>&lt;luca.lo.presti@schindler.com&gt;</t>
  </si>
  <si>
    <t>1203,74 / 1204</t>
  </si>
  <si>
    <t xml:space="preserve">1x S0PFA9372351 - Comp.chain 60x60 cpl. guide T75/89.BG850 - 616,02 EUR/pc
2x S01G59372354 - Pulley set compensation chain 60x60 
1x S01G59372379 - Guide clamping plate T75/89 cpl. </t>
  </si>
  <si>
    <t>3x S0PFX1973193 - O-C Bracket H BG1400 TG190 3 - 106,77 EUR/pc</t>
  </si>
  <si>
    <t>13x S0PFX1973521 - O-D Bracket H BG1400 TG190 2 - 132,74 EUR/pc
4x S0PF56225725 - Bag sliding clip SL3 for Z (x8) - 5,84 EUR/pc</t>
  </si>
  <si>
    <t>1827,28 / 1827</t>
  </si>
  <si>
    <t>13+4</t>
  </si>
  <si>
    <t>132,74 / 5,84</t>
  </si>
  <si>
    <t>398,61 / 399</t>
  </si>
  <si>
    <t>anthony.desmaele@schindler.com</t>
  </si>
  <si>
    <t>johan.nevelsteen@schindler.com</t>
  </si>
  <si>
    <t>Anthony Desmaele, Johan Nevelsteen, Ramiro Aranda</t>
  </si>
  <si>
    <t>4548041617 / 4544574161</t>
  </si>
  <si>
    <t>OF-202600277</t>
  </si>
  <si>
    <t xml:space="preserve">1x S0PF51201448 - 68,1 EUR                                                                                       2x S0PFAB201451 - 55,28 EUR                                                                                  1x S0PF51973767 - 36,19 EUR                </t>
  </si>
  <si>
    <t>293,15 / 293</t>
  </si>
  <si>
    <t>SCS-X00474722-VS00</t>
  </si>
  <si>
    <t xml:space="preserve">MIL0020133389 </t>
  </si>
  <si>
    <t>2x S0PF57664262 - FP flat T89_D19A - 7,41 EUR/pc
2x S0PF59370428 - FP flat T75_3B_D10 - 2,29 EUR/pc
2x S0PF00FPS006 - FPS_006_T89_D19A_Kit screws (x8) - 2,15 EUR/pc
2x S0PF00FPS001 - FPS_001_T75_3B_D10_Kit screws (x8) - 2,20 EUR/pc</t>
  </si>
  <si>
    <t>106,40 / 106</t>
  </si>
  <si>
    <t>2+2+2+2</t>
  </si>
  <si>
    <t>7,41+2,29+2,15+2,20</t>
  </si>
  <si>
    <t xml:space="preserve"> &lt;angel.gea@schindler.com&gt;</t>
  </si>
  <si>
    <t>VI-400717818-DU340-00</t>
  </si>
  <si>
    <t>Aeropuerto Torre Control Alicante</t>
  </si>
  <si>
    <t>VI-400717818-DU380-00</t>
  </si>
  <si>
    <t>VI-400717818-DU600-00</t>
  </si>
  <si>
    <t>PRESUPUESTO MATERIAL - KIT DE PALANCA DE ACCIONAMIENTO</t>
  </si>
  <si>
    <t>&lt;rebeca.heras@schindler.com&gt;</t>
  </si>
  <si>
    <t>S0PF57631840/0438</t>
  </si>
  <si>
    <t>S0PF57631840 - Actuating lever kit - 7,97</t>
  </si>
  <si>
    <t>86,27 / 86</t>
  </si>
  <si>
    <t xml:space="preserve">Marcel Böser </t>
  </si>
  <si>
    <t>&lt;marcel.boeser@schindler.com&gt;</t>
  </si>
  <si>
    <t>URGENT to 27.04.2026</t>
  </si>
  <si>
    <t xml:space="preserve">VI-01-2026-00000852 </t>
  </si>
  <si>
    <t>ES5.1.2.</t>
  </si>
  <si>
    <t>Mark Watters / Khaled Moselhy</t>
  </si>
  <si>
    <t>čekáme na market cluster</t>
  </si>
  <si>
    <t>Components in RAL 9005</t>
  </si>
  <si>
    <t>UNTERBORTSTRASSE 20, 3792 SAANEN\20140782</t>
  </si>
  <si>
    <t xml:space="preserve">Rebeca Heras Garzon </t>
  </si>
  <si>
    <t xml:space="preserve">Project: Stoneyard, birmingham-Phase1 </t>
  </si>
  <si>
    <t>info upd. 23/4</t>
  </si>
  <si>
    <t>245,15 / 245</t>
  </si>
  <si>
    <t>1292,79 / 1293</t>
  </si>
  <si>
    <t>RHU</t>
  </si>
  <si>
    <t>S0PFX1962492 - Stingl Fold Ladder - L=2600mm (Var) - 181,07 EUR/pc</t>
  </si>
  <si>
    <t>440,44 / 441</t>
  </si>
  <si>
    <t xml:space="preserve"> &lt;ron.vlielander@schindler.com&gt;</t>
  </si>
  <si>
    <t xml:space="preserve">11823484-85-86 </t>
  </si>
  <si>
    <t>Request for Pit Ladder Offer for Block C Lift L1FF / / 51962492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</si>
</sst>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;[Red]\-#,##0\ &quot;Kč&quot;"/>
    <numFmt numFmtId="165" formatCode="_-* #,##0.00\ &quot;Kč&quot;_-;\-* #,##0.00\ &quot;Kč&quot;_-;_-* &quot;-&quot;??\ &quot;Kč&quot;_-;_-@_-"/>
  </numFmts>
  <fonts count="8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name val="Arial"/>
      <family val="2"/>
      <charset val="238"/>
    </font>
    <font>
      <i/>
      <sz val="1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0"/>
      <name val="Calibri"/>
      <family val="2"/>
      <charset val="238"/>
      <scheme val="minor"/>
    </font>
    <font>
      <sz val="10"/>
      <name val="Aptos"/>
      <family val="2"/>
    </font>
    <font>
      <sz val="9"/>
      <name val="Arial"/>
      <family val="2"/>
      <charset val="238"/>
    </font>
    <font>
      <sz val="10"/>
      <color rgb="FFFF0000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i/>
      <sz val="10"/>
      <color theme="1"/>
      <name val="Arial"/>
      <family val="2"/>
      <charset val="238"/>
    </font>
    <font>
      <sz val="10"/>
      <name val="Segoe U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i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i/>
      <sz val="10"/>
      <color theme="1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2"/>
      <color rgb="FF000000"/>
      <name val="Aptos"/>
      <family val="2"/>
    </font>
    <font>
      <i/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sz val="8"/>
      <name val="Aptos"/>
      <family val="2"/>
    </font>
    <font>
      <b/>
      <sz val="9"/>
      <color theme="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u/>
      <sz val="10"/>
      <name val="Calibri"/>
      <family val="2"/>
      <charset val="238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0"/>
      <color rgb="FF000000"/>
      <name val="Arial"/>
      <family val="2"/>
      <charset val="238"/>
    </font>
    <font>
      <b/>
      <sz val="10"/>
      <color rgb="FFFF0000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color rgb="FF000000"/>
      <name val="Aptos"/>
    </font>
    <font>
      <u/>
      <sz val="8"/>
      <color theme="1"/>
      <name val="Calibri"/>
      <family val="2"/>
      <charset val="238"/>
      <scheme val="minor"/>
    </font>
    <font>
      <b/>
      <sz val="10"/>
      <color theme="5" tint="-0.249977111117893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name val="Symbol"/>
      <family val="1"/>
      <charset val="238"/>
    </font>
    <font>
      <sz val="8"/>
      <name val="Symbol"/>
      <family val="1"/>
      <charset val="238"/>
    </font>
    <font>
      <u/>
      <sz val="8"/>
      <name val="Arial"/>
      <family val="2"/>
      <charset val="238"/>
    </font>
    <font>
      <sz val="8"/>
      <color rgb="FF000000"/>
      <name val="Calibri"/>
      <family val="2"/>
      <charset val="238"/>
      <scheme val="minor"/>
    </font>
    <font>
      <i/>
      <sz val="8"/>
      <color theme="1"/>
      <name val="Calibri"/>
      <family val="2"/>
      <charset val="238"/>
      <scheme val="minor"/>
    </font>
    <font>
      <i/>
      <u/>
      <sz val="8"/>
      <color theme="1"/>
      <name val="Calibri"/>
      <family val="2"/>
      <charset val="238"/>
      <scheme val="minor"/>
    </font>
    <font>
      <b/>
      <sz val="12"/>
      <name val="Arial"/>
      <family val="2"/>
      <charset val="238"/>
    </font>
    <font>
      <i/>
      <sz val="11"/>
      <color rgb="FF00000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theme="1"/>
      <name val="Arial"/>
      <family val="2"/>
      <charset val="238"/>
    </font>
    <font>
      <i/>
      <sz val="11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11"/>
      <name val="Calibri"/>
      <family val="2"/>
      <scheme val="minor"/>
    </font>
    <font>
      <sz val="14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0" fontId="48" fillId="0" borderId="0" applyNumberFormat="0" applyFill="0" applyBorder="0" applyAlignment="0" applyProtection="0"/>
  </cellStyleXfs>
  <cellXfs count="9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2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5" fontId="3" fillId="0" borderId="4" xfId="1" applyFont="1" applyFill="1" applyBorder="1" applyAlignment="1">
      <alignment horizontal="center"/>
    </xf>
    <xf numFmtId="0" fontId="3" fillId="2" borderId="2" xfId="0" applyFont="1" applyFill="1" applyBorder="1"/>
    <xf numFmtId="0" fontId="3" fillId="0" borderId="13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2" borderId="13" xfId="0" applyFont="1" applyFill="1" applyBorder="1"/>
    <xf numFmtId="0" fontId="3" fillId="2" borderId="15" xfId="0" applyFont="1" applyFill="1" applyBorder="1"/>
    <xf numFmtId="0" fontId="9" fillId="4" borderId="2" xfId="0" applyFont="1" applyFill="1" applyBorder="1" applyAlignment="1">
      <alignment horizontal="center"/>
    </xf>
    <xf numFmtId="0" fontId="9" fillId="2" borderId="9" xfId="0" applyFont="1" applyFill="1" applyBorder="1"/>
    <xf numFmtId="0" fontId="9" fillId="4" borderId="3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16" fillId="0" borderId="7" xfId="0" applyFont="1" applyBorder="1" applyAlignment="1">
      <alignment horizontal="center"/>
    </xf>
    <xf numFmtId="0" fontId="16" fillId="0" borderId="0" xfId="0" applyFont="1"/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indent="1"/>
    </xf>
    <xf numFmtId="16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14" fontId="3" fillId="0" borderId="10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0" xfId="2" applyFont="1" applyBorder="1" applyAlignment="1">
      <alignment vertical="top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 wrapText="1"/>
    </xf>
    <xf numFmtId="0" fontId="3" fillId="0" borderId="6" xfId="2" applyFont="1" applyBorder="1" applyAlignment="1">
      <alignment vertical="top" wrapText="1"/>
    </xf>
    <xf numFmtId="2" fontId="3" fillId="0" borderId="6" xfId="0" applyNumberFormat="1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wrapText="1"/>
    </xf>
    <xf numFmtId="0" fontId="3" fillId="0" borderId="7" xfId="2" applyFont="1" applyBorder="1" applyAlignment="1">
      <alignment vertical="top" wrapText="1"/>
    </xf>
    <xf numFmtId="0" fontId="5" fillId="0" borderId="7" xfId="0" applyFont="1" applyBorder="1" applyAlignment="1">
      <alignment wrapText="1"/>
    </xf>
    <xf numFmtId="14" fontId="5" fillId="0" borderId="7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4" fontId="3" fillId="0" borderId="7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top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6" fillId="0" borderId="0" xfId="0" applyFont="1"/>
    <xf numFmtId="0" fontId="3" fillId="0" borderId="20" xfId="0" applyFont="1" applyBorder="1"/>
    <xf numFmtId="0" fontId="3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center" wrapText="1"/>
    </xf>
    <xf numFmtId="0" fontId="3" fillId="0" borderId="10" xfId="2" applyFont="1" applyBorder="1" applyAlignment="1">
      <alignment horizontal="center" vertical="top" wrapText="1"/>
    </xf>
    <xf numFmtId="0" fontId="3" fillId="0" borderId="6" xfId="2" applyFont="1" applyBorder="1" applyAlignment="1">
      <alignment horizontal="center" vertical="top" wrapText="1"/>
    </xf>
    <xf numFmtId="0" fontId="3" fillId="0" borderId="7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9" fontId="3" fillId="0" borderId="0" xfId="0" applyNumberFormat="1" applyFont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9" fontId="3" fillId="0" borderId="7" xfId="0" applyNumberFormat="1" applyFont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9" fontId="3" fillId="6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  <xf numFmtId="9" fontId="9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2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wrapText="1"/>
    </xf>
    <xf numFmtId="0" fontId="22" fillId="0" borderId="7" xfId="0" applyFont="1" applyBorder="1"/>
    <xf numFmtId="0" fontId="29" fillId="0" borderId="0" xfId="0" applyFont="1" applyAlignment="1">
      <alignment horizontal="left" vertical="center" indent="1"/>
    </xf>
    <xf numFmtId="9" fontId="3" fillId="6" borderId="7" xfId="0" applyNumberFormat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1" fillId="0" borderId="7" xfId="0" applyFont="1" applyBorder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0" fontId="9" fillId="8" borderId="0" xfId="0" applyFont="1" applyFill="1" applyAlignment="1">
      <alignment vertical="center" wrapText="1"/>
    </xf>
    <xf numFmtId="14" fontId="18" fillId="8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4" fillId="0" borderId="0" xfId="2" applyAlignment="1">
      <alignment horizontal="center" vertical="top"/>
    </xf>
    <xf numFmtId="0" fontId="6" fillId="0" borderId="0" xfId="0" applyFont="1" applyAlignment="1">
      <alignment horizontal="center"/>
    </xf>
    <xf numFmtId="2" fontId="28" fillId="0" borderId="0" xfId="0" applyNumberFormat="1" applyFont="1" applyAlignment="1">
      <alignment horizontal="center"/>
    </xf>
    <xf numFmtId="0" fontId="33" fillId="0" borderId="0" xfId="0" applyFont="1" applyAlignment="1">
      <alignment vertical="center"/>
    </xf>
    <xf numFmtId="0" fontId="9" fillId="9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0" fillId="0" borderId="7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" fillId="10" borderId="0" xfId="0" applyFont="1" applyFill="1" applyAlignment="1">
      <alignment vertical="center" wrapText="1"/>
    </xf>
    <xf numFmtId="14" fontId="3" fillId="9" borderId="0" xfId="0" applyNumberFormat="1" applyFont="1" applyFill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29" fillId="0" borderId="7" xfId="0" applyFont="1" applyBorder="1" applyAlignment="1">
      <alignment vertical="center"/>
    </xf>
    <xf numFmtId="0" fontId="34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6" fillId="0" borderId="7" xfId="0" applyFont="1" applyBorder="1" applyAlignment="1">
      <alignment vertical="center" wrapText="1"/>
    </xf>
    <xf numFmtId="0" fontId="9" fillId="0" borderId="4" xfId="0" applyFont="1" applyBorder="1"/>
    <xf numFmtId="0" fontId="9" fillId="0" borderId="0" xfId="0" applyFont="1"/>
    <xf numFmtId="0" fontId="9" fillId="2" borderId="19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12" borderId="2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14" fillId="0" borderId="7" xfId="0" applyFont="1" applyBorder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4" fontId="3" fillId="0" borderId="7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13" fillId="0" borderId="0" xfId="0" applyFont="1"/>
    <xf numFmtId="0" fontId="16" fillId="0" borderId="0" xfId="0" applyFont="1" applyAlignment="1">
      <alignment horizontal="left" wrapText="1"/>
    </xf>
    <xf numFmtId="14" fontId="9" fillId="7" borderId="0" xfId="0" applyNumberFormat="1" applyFont="1" applyFill="1" applyAlignment="1">
      <alignment horizontal="center" vertical="center" wrapText="1"/>
    </xf>
    <xf numFmtId="9" fontId="3" fillId="7" borderId="0" xfId="0" applyNumberFormat="1" applyFont="1" applyFill="1" applyAlignment="1">
      <alignment horizontal="center" vertical="center" wrapText="1"/>
    </xf>
    <xf numFmtId="0" fontId="34" fillId="7" borderId="0" xfId="0" applyFont="1" applyFill="1" applyAlignment="1">
      <alignment vertical="center" wrapText="1"/>
    </xf>
    <xf numFmtId="0" fontId="3" fillId="7" borderId="0" xfId="0" applyFont="1" applyFill="1" applyAlignment="1">
      <alignment wrapText="1"/>
    </xf>
    <xf numFmtId="14" fontId="3" fillId="7" borderId="0" xfId="0" applyNumberFormat="1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3" fillId="13" borderId="0" xfId="0" applyFont="1" applyFill="1" applyAlignment="1">
      <alignment vertical="center" wrapText="1"/>
    </xf>
    <xf numFmtId="0" fontId="3" fillId="13" borderId="0" xfId="0" applyFont="1" applyFill="1" applyAlignment="1">
      <alignment horizontal="center" wrapText="1"/>
    </xf>
    <xf numFmtId="14" fontId="3" fillId="13" borderId="0" xfId="0" applyNumberFormat="1" applyFont="1" applyFill="1" applyAlignment="1">
      <alignment horizontal="center" wrapText="1"/>
    </xf>
    <xf numFmtId="0" fontId="9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9" fontId="3" fillId="13" borderId="0" xfId="0" applyNumberFormat="1" applyFont="1" applyFill="1" applyAlignment="1">
      <alignment horizontal="center" vertical="center" wrapText="1"/>
    </xf>
    <xf numFmtId="0" fontId="3" fillId="13" borderId="0" xfId="0" applyFont="1" applyFill="1" applyAlignment="1">
      <alignment wrapText="1"/>
    </xf>
    <xf numFmtId="0" fontId="0" fillId="13" borderId="0" xfId="0" applyFill="1"/>
    <xf numFmtId="0" fontId="18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vertical="center" wrapText="1"/>
    </xf>
    <xf numFmtId="0" fontId="38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14" borderId="0" xfId="0" applyFont="1" applyFill="1" applyAlignment="1">
      <alignment horizontal="center" vertical="center" wrapText="1"/>
    </xf>
    <xf numFmtId="14" fontId="3" fillId="14" borderId="0" xfId="0" applyNumberFormat="1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left"/>
    </xf>
    <xf numFmtId="0" fontId="11" fillId="1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4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wrapText="1"/>
    </xf>
    <xf numFmtId="0" fontId="25" fillId="0" borderId="0" xfId="0" applyFont="1"/>
    <xf numFmtId="0" fontId="9" fillId="0" borderId="7" xfId="0" applyFont="1" applyBorder="1" applyAlignment="1">
      <alignment horizontal="left" vertical="center" wrapText="1"/>
    </xf>
    <xf numFmtId="0" fontId="41" fillId="0" borderId="0" xfId="0" applyFont="1" applyAlignment="1">
      <alignment vertical="center"/>
    </xf>
    <xf numFmtId="0" fontId="34" fillId="0" borderId="0" xfId="0" applyFont="1" applyAlignment="1">
      <alignment horizontal="left" vertical="center" wrapText="1"/>
    </xf>
    <xf numFmtId="0" fontId="28" fillId="0" borderId="0" xfId="0" applyFont="1"/>
    <xf numFmtId="0" fontId="4" fillId="0" borderId="7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4" fillId="0" borderId="7" xfId="0" applyFont="1" applyBorder="1"/>
    <xf numFmtId="0" fontId="6" fillId="0" borderId="7" xfId="0" applyFont="1" applyBorder="1"/>
    <xf numFmtId="0" fontId="21" fillId="0" borderId="7" xfId="0" applyFont="1" applyBorder="1"/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4" borderId="19" xfId="0" applyFont="1" applyFill="1" applyBorder="1" applyAlignment="1">
      <alignment horizontal="center"/>
    </xf>
    <xf numFmtId="14" fontId="9" fillId="4" borderId="2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25" fillId="0" borderId="7" xfId="0" applyFont="1" applyBorder="1"/>
    <xf numFmtId="0" fontId="13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3" fillId="15" borderId="0" xfId="0" applyFont="1" applyFill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0" fillId="0" borderId="7" xfId="0" applyBorder="1"/>
    <xf numFmtId="1" fontId="3" fillId="0" borderId="7" xfId="0" applyNumberFormat="1" applyFont="1" applyBorder="1" applyAlignment="1">
      <alignment horizontal="center" vertical="center" wrapText="1"/>
    </xf>
    <xf numFmtId="14" fontId="3" fillId="13" borderId="0" xfId="0" applyNumberFormat="1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24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vertical="center"/>
    </xf>
    <xf numFmtId="1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22" xfId="0" applyFont="1" applyBorder="1"/>
    <xf numFmtId="0" fontId="3" fillId="0" borderId="22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/>
    </xf>
    <xf numFmtId="14" fontId="3" fillId="0" borderId="22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 wrapText="1"/>
    </xf>
    <xf numFmtId="0" fontId="40" fillId="0" borderId="22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12" fillId="0" borderId="7" xfId="0" applyFont="1" applyBorder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46" fillId="13" borderId="0" xfId="0" applyFont="1" applyFill="1" applyAlignment="1">
      <alignment horizontal="center" vertical="center"/>
    </xf>
    <xf numFmtId="14" fontId="9" fillId="13" borderId="0" xfId="0" applyNumberFormat="1" applyFont="1" applyFill="1" applyAlignment="1">
      <alignment horizontal="center" vertical="center" wrapText="1"/>
    </xf>
    <xf numFmtId="9" fontId="9" fillId="13" borderId="0" xfId="0" applyNumberFormat="1" applyFont="1" applyFill="1" applyAlignment="1">
      <alignment horizontal="center" vertical="center" wrapText="1"/>
    </xf>
    <xf numFmtId="0" fontId="46" fillId="13" borderId="0" xfId="0" applyFont="1" applyFill="1"/>
    <xf numFmtId="0" fontId="9" fillId="13" borderId="0" xfId="0" quotePrefix="1" applyFont="1" applyFill="1" applyAlignment="1">
      <alignment horizontal="left" vertical="center" wrapText="1"/>
    </xf>
    <xf numFmtId="0" fontId="40" fillId="13" borderId="0" xfId="0" applyFont="1" applyFill="1" applyAlignment="1">
      <alignment vertical="center"/>
    </xf>
    <xf numFmtId="2" fontId="3" fillId="0" borderId="6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6" borderId="0" xfId="0" applyFont="1" applyFill="1" applyAlignment="1">
      <alignment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14" fillId="6" borderId="0" xfId="0" applyFont="1" applyFill="1" applyAlignment="1">
      <alignment vertical="center" wrapText="1"/>
    </xf>
    <xf numFmtId="9" fontId="3" fillId="0" borderId="22" xfId="0" applyNumberFormat="1" applyFont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/>
    </xf>
    <xf numFmtId="0" fontId="3" fillId="6" borderId="0" xfId="0" applyFont="1" applyFill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7" fillId="0" borderId="7" xfId="0" applyFont="1" applyBorder="1"/>
    <xf numFmtId="0" fontId="13" fillId="0" borderId="23" xfId="0" applyFont="1" applyBorder="1"/>
    <xf numFmtId="0" fontId="49" fillId="0" borderId="6" xfId="0" applyFont="1" applyBorder="1" applyAlignment="1">
      <alignment vertical="center"/>
    </xf>
    <xf numFmtId="14" fontId="41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3" fillId="0" borderId="6" xfId="0" applyFont="1" applyBorder="1"/>
    <xf numFmtId="0" fontId="41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 wrapText="1"/>
    </xf>
    <xf numFmtId="0" fontId="13" fillId="0" borderId="25" xfId="0" applyFont="1" applyBorder="1"/>
    <xf numFmtId="0" fontId="49" fillId="0" borderId="7" xfId="0" applyFont="1" applyBorder="1" applyAlignment="1">
      <alignment vertical="center"/>
    </xf>
    <xf numFmtId="14" fontId="41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0" fontId="41" fillId="0" borderId="7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 wrapText="1"/>
    </xf>
    <xf numFmtId="14" fontId="4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13" borderId="0" xfId="0" applyFont="1" applyFill="1" applyAlignment="1">
      <alignment vertical="center" wrapText="1"/>
    </xf>
    <xf numFmtId="0" fontId="13" fillId="13" borderId="0" xfId="0" applyFont="1" applyFill="1" applyAlignment="1">
      <alignment vertical="center"/>
    </xf>
    <xf numFmtId="0" fontId="13" fillId="0" borderId="22" xfId="0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0" fillId="0" borderId="0" xfId="0" applyFont="1"/>
    <xf numFmtId="14" fontId="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vertical="center"/>
    </xf>
    <xf numFmtId="0" fontId="14" fillId="0" borderId="0" xfId="0" applyFont="1"/>
    <xf numFmtId="0" fontId="50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6" fillId="0" borderId="0" xfId="0" applyFont="1" applyAlignment="1">
      <alignment horizontal="center" wrapText="1"/>
    </xf>
    <xf numFmtId="164" fontId="9" fillId="0" borderId="0" xfId="0" applyNumberFormat="1" applyFont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7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14" fontId="46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1" fontId="3" fillId="0" borderId="0" xfId="0" applyNumberFormat="1" applyFont="1" applyAlignment="1">
      <alignment horizontal="left" vertical="center" wrapText="1"/>
    </xf>
    <xf numFmtId="0" fontId="37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14" fontId="13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wrapText="1"/>
    </xf>
    <xf numFmtId="0" fontId="46" fillId="0" borderId="0" xfId="0" applyFont="1" applyAlignment="1">
      <alignment vertical="center"/>
    </xf>
    <xf numFmtId="0" fontId="3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9" fillId="0" borderId="27" xfId="0" applyFont="1" applyBorder="1"/>
    <xf numFmtId="0" fontId="3" fillId="0" borderId="27" xfId="0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9" fillId="0" borderId="27" xfId="0" applyFont="1" applyBorder="1" applyAlignment="1">
      <alignment horizontal="center" wrapText="1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4" fontId="3" fillId="0" borderId="30" xfId="0" applyNumberFormat="1" applyFont="1" applyBorder="1" applyAlignment="1">
      <alignment horizontal="center"/>
    </xf>
    <xf numFmtId="0" fontId="3" fillId="0" borderId="30" xfId="0" applyFont="1" applyBorder="1" applyAlignment="1">
      <alignment horizontal="left"/>
    </xf>
    <xf numFmtId="0" fontId="9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/>
    </xf>
    <xf numFmtId="0" fontId="52" fillId="0" borderId="0" xfId="0" applyFont="1"/>
    <xf numFmtId="0" fontId="29" fillId="0" borderId="7" xfId="0" applyFont="1" applyBorder="1" applyAlignment="1">
      <alignment vertical="center" wrapText="1"/>
    </xf>
    <xf numFmtId="0" fontId="31" fillId="0" borderId="0" xfId="0" applyFont="1"/>
    <xf numFmtId="0" fontId="4" fillId="0" borderId="0" xfId="0" applyFont="1" applyAlignment="1">
      <alignment horizontal="left" vertical="center"/>
    </xf>
    <xf numFmtId="0" fontId="28" fillId="0" borderId="0" xfId="0" applyFont="1" applyAlignment="1">
      <alignment horizontal="left" wrapText="1"/>
    </xf>
    <xf numFmtId="0" fontId="13" fillId="6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14" fontId="46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/>
    <xf numFmtId="14" fontId="3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55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4" fillId="0" borderId="0" xfId="0" applyFont="1" applyBorder="1" applyAlignment="1">
      <alignment horizontal="left" vertical="center" wrapText="1"/>
    </xf>
    <xf numFmtId="0" fontId="0" fillId="0" borderId="0" xfId="0" applyFill="1"/>
    <xf numFmtId="14" fontId="13" fillId="0" borderId="0" xfId="0" applyNumberFormat="1" applyFont="1" applyFill="1" applyAlignment="1">
      <alignment horizontal="center"/>
    </xf>
    <xf numFmtId="0" fontId="6" fillId="0" borderId="0" xfId="0" applyFont="1" applyFill="1"/>
    <xf numFmtId="1" fontId="3" fillId="0" borderId="0" xfId="0" applyNumberFormat="1" applyFont="1" applyFill="1" applyAlignment="1">
      <alignment horizontal="left" vertical="center" wrapTex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/>
    <xf numFmtId="0" fontId="3" fillId="0" borderId="0" xfId="0" applyFont="1" applyFill="1" applyAlignment="1">
      <alignment wrapText="1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14" fontId="13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14" fontId="3" fillId="0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14" fontId="13" fillId="0" borderId="7" xfId="0" applyNumberFormat="1" applyFont="1" applyFill="1" applyBorder="1" applyAlignment="1">
      <alignment horizontal="center"/>
    </xf>
    <xf numFmtId="14" fontId="3" fillId="0" borderId="7" xfId="0" applyNumberFormat="1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9" fontId="3" fillId="0" borderId="7" xfId="0" applyNumberFormat="1" applyFont="1" applyFill="1" applyBorder="1" applyAlignment="1">
      <alignment horizontal="center" vertical="center" wrapText="1"/>
    </xf>
    <xf numFmtId="0" fontId="13" fillId="0" borderId="7" xfId="0" applyFont="1" applyFill="1" applyBorder="1"/>
    <xf numFmtId="0" fontId="9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wrapText="1"/>
    </xf>
    <xf numFmtId="0" fontId="12" fillId="0" borderId="0" xfId="0" applyFont="1" applyFill="1" applyAlignment="1">
      <alignment wrapText="1"/>
    </xf>
    <xf numFmtId="14" fontId="0" fillId="0" borderId="0" xfId="0" applyNumberFormat="1" applyFont="1" applyFill="1" applyAlignment="1">
      <alignment vertical="center" wrapText="1"/>
    </xf>
    <xf numFmtId="14" fontId="0" fillId="0" borderId="7" xfId="0" applyNumberFormat="1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/>
    </xf>
    <xf numFmtId="14" fontId="1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5" borderId="0" xfId="0" applyFill="1"/>
    <xf numFmtId="14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14" fontId="3" fillId="5" borderId="0" xfId="0" applyNumberFormat="1" applyFont="1" applyFill="1" applyAlignment="1">
      <alignment horizontal="left" vertical="center" wrapText="1"/>
    </xf>
    <xf numFmtId="0" fontId="13" fillId="5" borderId="0" xfId="0" applyFont="1" applyFill="1" applyAlignment="1">
      <alignment vertical="center"/>
    </xf>
    <xf numFmtId="0" fontId="22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/>
    <xf numFmtId="0" fontId="28" fillId="0" borderId="7" xfId="0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/>
    <xf numFmtId="0" fontId="4" fillId="0" borderId="7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9" fillId="3" borderId="16" xfId="0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0" borderId="2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51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/>
    <xf numFmtId="0" fontId="3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vertical="center"/>
    </xf>
    <xf numFmtId="0" fontId="62" fillId="0" borderId="7" xfId="0" applyFont="1" applyFill="1" applyBorder="1" applyAlignment="1">
      <alignment vertical="center"/>
    </xf>
    <xf numFmtId="0" fontId="1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9" fillId="0" borderId="0" xfId="0" applyFon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4" fontId="13" fillId="0" borderId="0" xfId="0" applyNumberFormat="1" applyFont="1" applyFill="1" applyBorder="1" applyAlignment="1">
      <alignment horizontal="center" vertical="center" wrapText="1"/>
    </xf>
    <xf numFmtId="0" fontId="0" fillId="0" borderId="7" xfId="0" applyFill="1" applyBorder="1"/>
    <xf numFmtId="0" fontId="18" fillId="0" borderId="7" xfId="0" applyFont="1" applyFill="1" applyBorder="1" applyAlignment="1">
      <alignment horizontal="left" vertical="center" wrapText="1"/>
    </xf>
    <xf numFmtId="0" fontId="25" fillId="0" borderId="7" xfId="0" applyFont="1" applyFill="1" applyBorder="1"/>
    <xf numFmtId="0" fontId="0" fillId="0" borderId="7" xfId="0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40" fillId="6" borderId="0" xfId="0" applyFont="1" applyFill="1" applyAlignment="1">
      <alignment vertical="center"/>
    </xf>
    <xf numFmtId="0" fontId="0" fillId="0" borderId="7" xfId="0" applyFill="1" applyBorder="1" applyAlignment="1">
      <alignment vertical="center"/>
    </xf>
    <xf numFmtId="14" fontId="13" fillId="0" borderId="7" xfId="0" applyNumberFormat="1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4" fillId="0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4" fontId="13" fillId="0" borderId="0" xfId="0" applyNumberFormat="1" applyFont="1" applyFill="1" applyAlignment="1">
      <alignment horizontal="center" vertical="center"/>
    </xf>
    <xf numFmtId="14" fontId="0" fillId="0" borderId="0" xfId="0" applyNumberFormat="1" applyFill="1" applyBorder="1" applyAlignment="1">
      <alignment vertical="center" wrapText="1"/>
    </xf>
    <xf numFmtId="0" fontId="40" fillId="0" borderId="0" xfId="0" applyFont="1" applyFill="1" applyAlignment="1">
      <alignment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13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6" fillId="0" borderId="0" xfId="0" applyFont="1"/>
    <xf numFmtId="14" fontId="3" fillId="0" borderId="0" xfId="0" applyNumberFormat="1" applyFont="1" applyFill="1" applyAlignment="1">
      <alignment horizontal="center" wrapText="1"/>
    </xf>
    <xf numFmtId="0" fontId="31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left" vertical="center" wrapText="1"/>
    </xf>
    <xf numFmtId="14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vertical="center"/>
    </xf>
    <xf numFmtId="0" fontId="22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vertical="center"/>
    </xf>
    <xf numFmtId="0" fontId="40" fillId="0" borderId="0" xfId="0" applyFont="1"/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63" fillId="0" borderId="0" xfId="0" applyFont="1" applyFill="1" applyAlignment="1">
      <alignment vertical="center"/>
    </xf>
    <xf numFmtId="14" fontId="64" fillId="0" borderId="0" xfId="0" applyNumberFormat="1" applyFont="1" applyFill="1" applyAlignment="1">
      <alignment horizontal="center" vertical="center" wrapText="1"/>
    </xf>
    <xf numFmtId="0" fontId="64" fillId="0" borderId="0" xfId="0" applyFont="1" applyFill="1" applyAlignment="1">
      <alignment horizontal="left" vertical="center" wrapText="1"/>
    </xf>
    <xf numFmtId="0" fontId="64" fillId="0" borderId="0" xfId="0" applyFont="1" applyFill="1" applyAlignment="1">
      <alignment horizontal="center" vertical="center" wrapText="1"/>
    </xf>
    <xf numFmtId="14" fontId="64" fillId="0" borderId="0" xfId="0" applyNumberFormat="1" applyFont="1" applyFill="1" applyAlignment="1">
      <alignment horizontal="left" vertical="center" wrapText="1"/>
    </xf>
    <xf numFmtId="0" fontId="66" fillId="0" borderId="0" xfId="0" applyFont="1" applyFill="1" applyAlignment="1">
      <alignment vertical="center"/>
    </xf>
    <xf numFmtId="0" fontId="65" fillId="0" borderId="0" xfId="0" applyFont="1" applyFill="1" applyAlignment="1">
      <alignment vertical="center"/>
    </xf>
    <xf numFmtId="0" fontId="66" fillId="0" borderId="0" xfId="0" applyFont="1" applyFill="1" applyAlignment="1">
      <alignment horizontal="center" vertical="center"/>
    </xf>
    <xf numFmtId="0" fontId="66" fillId="0" borderId="0" xfId="0" applyFont="1" applyFill="1"/>
    <xf numFmtId="0" fontId="64" fillId="0" borderId="0" xfId="0" applyFont="1" applyFill="1" applyAlignment="1">
      <alignment wrapText="1"/>
    </xf>
    <xf numFmtId="0" fontId="21" fillId="0" borderId="0" xfId="0" applyFont="1" applyFill="1" applyAlignment="1">
      <alignment horizontal="left" vertical="center"/>
    </xf>
    <xf numFmtId="0" fontId="24" fillId="0" borderId="0" xfId="0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14" fontId="3" fillId="0" borderId="0" xfId="0" applyNumberFormat="1" applyFont="1" applyFill="1" applyAlignment="1">
      <alignment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 wrapText="1"/>
    </xf>
    <xf numFmtId="0" fontId="69" fillId="0" borderId="0" xfId="0" applyFont="1" applyFill="1" applyBorder="1" applyAlignment="1">
      <alignment horizontal="center" vertical="center" wrapText="1"/>
    </xf>
    <xf numFmtId="0" fontId="51" fillId="0" borderId="0" xfId="0" applyFont="1" applyFill="1" applyAlignment="1">
      <alignment horizontal="left" vertical="center"/>
    </xf>
    <xf numFmtId="14" fontId="12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51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 wrapText="1"/>
    </xf>
    <xf numFmtId="0" fontId="51" fillId="0" borderId="0" xfId="0" applyFont="1"/>
    <xf numFmtId="0" fontId="12" fillId="0" borderId="0" xfId="0" applyFont="1" applyAlignment="1">
      <alignment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3" fillId="6" borderId="0" xfId="0" applyFont="1" applyFill="1"/>
    <xf numFmtId="0" fontId="28" fillId="6" borderId="0" xfId="0" applyFont="1" applyFill="1" applyAlignment="1">
      <alignment horizontal="left" vertical="center" wrapText="1"/>
    </xf>
    <xf numFmtId="14" fontId="41" fillId="6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left" vertical="center" wrapText="1"/>
    </xf>
    <xf numFmtId="1" fontId="3" fillId="6" borderId="0" xfId="0" applyNumberFormat="1" applyFont="1" applyFill="1" applyAlignment="1">
      <alignment horizontal="center" vertical="center" wrapText="1"/>
    </xf>
    <xf numFmtId="14" fontId="67" fillId="0" borderId="0" xfId="0" applyNumberFormat="1" applyFont="1" applyFill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14" fontId="3" fillId="16" borderId="0" xfId="0" applyNumberFormat="1" applyFont="1" applyFill="1" applyAlignment="1">
      <alignment horizontal="center" vertical="center" wrapText="1"/>
    </xf>
    <xf numFmtId="0" fontId="19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center" vertical="center" wrapText="1"/>
    </xf>
    <xf numFmtId="14" fontId="3" fillId="16" borderId="0" xfId="0" applyNumberFormat="1" applyFont="1" applyFill="1" applyAlignment="1">
      <alignment horizontal="left" vertical="center" wrapText="1"/>
    </xf>
    <xf numFmtId="0" fontId="13" fillId="16" borderId="0" xfId="0" applyFont="1" applyFill="1" applyAlignment="1">
      <alignment vertical="center"/>
    </xf>
    <xf numFmtId="0" fontId="22" fillId="16" borderId="0" xfId="0" applyFont="1" applyFill="1" applyAlignment="1">
      <alignment vertical="center"/>
    </xf>
    <xf numFmtId="0" fontId="4" fillId="16" borderId="0" xfId="0" applyFont="1" applyFill="1" applyAlignment="1">
      <alignment horizontal="center" vertical="center"/>
    </xf>
    <xf numFmtId="9" fontId="3" fillId="16" borderId="0" xfId="0" applyNumberFormat="1" applyFont="1" applyFill="1" applyAlignment="1">
      <alignment horizontal="center" vertical="center" wrapText="1"/>
    </xf>
    <xf numFmtId="0" fontId="3" fillId="16" borderId="0" xfId="0" applyFont="1" applyFill="1" applyAlignment="1">
      <alignment vertical="center" wrapText="1"/>
    </xf>
    <xf numFmtId="0" fontId="46" fillId="16" borderId="0" xfId="0" applyFont="1" applyFill="1" applyAlignment="1">
      <alignment vertical="center"/>
    </xf>
    <xf numFmtId="14" fontId="13" fillId="16" borderId="0" xfId="0" applyNumberFormat="1" applyFont="1" applyFill="1" applyAlignment="1">
      <alignment horizontal="center" vertical="center"/>
    </xf>
    <xf numFmtId="0" fontId="9" fillId="16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vertical="center" wrapText="1"/>
    </xf>
    <xf numFmtId="0" fontId="21" fillId="16" borderId="0" xfId="0" applyFont="1" applyFill="1" applyAlignment="1">
      <alignment vertical="center"/>
    </xf>
    <xf numFmtId="14" fontId="3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13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8" fillId="2" borderId="0" xfId="3" applyFill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7" xfId="0" applyFont="1" applyBorder="1" applyAlignment="1">
      <alignment horizontal="left"/>
    </xf>
    <xf numFmtId="0" fontId="3" fillId="9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8" fillId="0" borderId="0" xfId="3" applyAlignment="1">
      <alignment horizontal="left" vertical="center" wrapText="1"/>
    </xf>
    <xf numFmtId="0" fontId="0" fillId="0" borderId="0" xfId="0" applyFill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9" fillId="16" borderId="0" xfId="0" applyFont="1" applyFill="1" applyAlignment="1">
      <alignment horizontal="center" vertical="center" wrapText="1"/>
    </xf>
    <xf numFmtId="0" fontId="40" fillId="0" borderId="7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0" fillId="0" borderId="7" xfId="0" applyFont="1" applyBorder="1"/>
    <xf numFmtId="0" fontId="40" fillId="5" borderId="0" xfId="0" applyFont="1" applyFill="1"/>
    <xf numFmtId="0" fontId="32" fillId="0" borderId="0" xfId="0" applyFont="1" applyFill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0" xfId="0" applyFont="1" applyFill="1"/>
    <xf numFmtId="0" fontId="40" fillId="0" borderId="7" xfId="0" applyFont="1" applyFill="1" applyBorder="1"/>
    <xf numFmtId="0" fontId="40" fillId="0" borderId="0" xfId="0" applyFont="1" applyBorder="1"/>
    <xf numFmtId="0" fontId="40" fillId="0" borderId="0" xfId="0" applyFont="1" applyFill="1" applyAlignment="1">
      <alignment horizontal="center" vertical="center"/>
    </xf>
    <xf numFmtId="0" fontId="32" fillId="0" borderId="7" xfId="0" applyFont="1" applyFill="1" applyBorder="1"/>
    <xf numFmtId="0" fontId="40" fillId="0" borderId="0" xfId="0" applyFont="1" applyFill="1" applyAlignment="1">
      <alignment horizontal="center"/>
    </xf>
    <xf numFmtId="0" fontId="9" fillId="0" borderId="0" xfId="0" applyFont="1" applyFill="1" applyAlignment="1">
      <alignment vertical="center" wrapText="1"/>
    </xf>
    <xf numFmtId="0" fontId="40" fillId="0" borderId="0" xfId="0" applyFont="1" applyFill="1" applyAlignment="1">
      <alignment horizontal="center" vertical="center" wrapText="1"/>
    </xf>
    <xf numFmtId="0" fontId="40" fillId="0" borderId="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4" fontId="1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 vertical="center" wrapText="1"/>
    </xf>
    <xf numFmtId="14" fontId="3" fillId="6" borderId="0" xfId="0" applyNumberFormat="1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vertical="center"/>
    </xf>
    <xf numFmtId="0" fontId="22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13" fillId="6" borderId="0" xfId="0" applyFont="1" applyFill="1" applyBorder="1" applyAlignment="1">
      <alignment horizontal="center" vertical="center"/>
    </xf>
    <xf numFmtId="14" fontId="3" fillId="6" borderId="0" xfId="0" applyNumberFormat="1" applyFont="1" applyFill="1" applyBorder="1" applyAlignment="1">
      <alignment horizontal="center" vertical="center" wrapText="1"/>
    </xf>
    <xf numFmtId="9" fontId="3" fillId="6" borderId="0" xfId="0" applyNumberFormat="1" applyFont="1" applyFill="1" applyBorder="1" applyAlignment="1">
      <alignment horizontal="center" vertical="center" wrapText="1"/>
    </xf>
    <xf numFmtId="0" fontId="13" fillId="6" borderId="0" xfId="0" applyFont="1" applyFill="1" applyBorder="1"/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 wrapText="1"/>
    </xf>
    <xf numFmtId="0" fontId="7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wrapText="1"/>
    </xf>
    <xf numFmtId="14" fontId="3" fillId="0" borderId="0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8" fillId="0" borderId="0" xfId="0" applyFont="1" applyFill="1" applyAlignment="1">
      <alignment horizontal="left" vertical="center" wrapText="1"/>
    </xf>
    <xf numFmtId="0" fontId="46" fillId="0" borderId="0" xfId="0" applyFont="1" applyFill="1" applyAlignment="1">
      <alignment vertical="center"/>
    </xf>
    <xf numFmtId="14" fontId="9" fillId="0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Fill="1" applyAlignment="1">
      <alignment horizontal="left" vertical="center" wrapText="1"/>
    </xf>
    <xf numFmtId="9" fontId="9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3" fillId="0" borderId="0" xfId="2" applyFont="1" applyFill="1" applyAlignment="1">
      <alignment vertical="center"/>
    </xf>
    <xf numFmtId="14" fontId="9" fillId="0" borderId="7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8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74" fillId="0" borderId="0" xfId="0" applyFont="1" applyFill="1" applyAlignment="1">
      <alignment horizontal="left" vertical="center" wrapText="1"/>
    </xf>
    <xf numFmtId="14" fontId="46" fillId="0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vertical="center" wrapText="1"/>
    </xf>
    <xf numFmtId="14" fontId="3" fillId="6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7" xfId="0" applyFont="1" applyBorder="1"/>
    <xf numFmtId="0" fontId="41" fillId="0" borderId="0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Border="1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1" fillId="0" borderId="7" xfId="0" applyFont="1" applyBorder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0" borderId="0" xfId="0" applyFont="1"/>
    <xf numFmtId="0" fontId="9" fillId="9" borderId="0" xfId="0" applyFont="1" applyFill="1" applyAlignment="1">
      <alignment horizontal="center" wrapText="1"/>
    </xf>
    <xf numFmtId="0" fontId="9" fillId="16" borderId="0" xfId="0" applyFont="1" applyFill="1" applyAlignment="1">
      <alignment horizontal="center" wrapText="1"/>
    </xf>
    <xf numFmtId="0" fontId="9" fillId="13" borderId="0" xfId="0" applyFont="1" applyFill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9" fillId="0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75" fillId="0" borderId="0" xfId="0" applyFont="1" applyFill="1" applyAlignment="1">
      <alignment horizontal="center" vertic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76" fillId="0" borderId="4" xfId="0" applyFont="1" applyBorder="1" applyAlignment="1">
      <alignment horizontal="center" vertical="center"/>
    </xf>
    <xf numFmtId="0" fontId="9" fillId="6" borderId="0" xfId="0" applyFont="1" applyFill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vertical="center"/>
    </xf>
    <xf numFmtId="14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Alignment="1">
      <alignment horizontal="left" vertical="center" wrapText="1"/>
    </xf>
    <xf numFmtId="0" fontId="77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0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8" fillId="0" borderId="0" xfId="2" applyFont="1" applyFill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14" fontId="9" fillId="16" borderId="0" xfId="0" applyNumberFormat="1" applyFont="1" applyFill="1" applyAlignment="1">
      <alignment horizontal="center" vertical="center" wrapText="1"/>
    </xf>
    <xf numFmtId="0" fontId="9" fillId="16" borderId="0" xfId="0" applyFont="1" applyFill="1" applyBorder="1" applyAlignment="1">
      <alignment horizontal="left" vertical="center" wrapText="1"/>
    </xf>
    <xf numFmtId="14" fontId="9" fillId="16" borderId="0" xfId="0" applyNumberFormat="1" applyFont="1" applyFill="1" applyAlignment="1">
      <alignment horizontal="left" vertical="center" wrapText="1"/>
    </xf>
    <xf numFmtId="0" fontId="23" fillId="16" borderId="0" xfId="0" applyFont="1" applyFill="1" applyAlignment="1">
      <alignment horizontal="left" vertical="center" wrapText="1"/>
    </xf>
    <xf numFmtId="0" fontId="9" fillId="16" borderId="0" xfId="0" applyFont="1" applyFill="1" applyBorder="1" applyAlignment="1">
      <alignment horizontal="center" vertical="center" wrapText="1"/>
    </xf>
    <xf numFmtId="0" fontId="46" fillId="16" borderId="0" xfId="0" applyFont="1" applyFill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0" fontId="46" fillId="16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6" fillId="0" borderId="6" xfId="0" applyFont="1" applyFill="1" applyBorder="1" applyAlignment="1">
      <alignment vertical="center"/>
    </xf>
    <xf numFmtId="14" fontId="9" fillId="0" borderId="6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left" vertical="center" wrapText="1"/>
    </xf>
    <xf numFmtId="0" fontId="23" fillId="0" borderId="6" xfId="0" applyFont="1" applyFill="1" applyBorder="1" applyAlignment="1">
      <alignment horizontal="left" vertical="center" wrapText="1"/>
    </xf>
    <xf numFmtId="0" fontId="40" fillId="0" borderId="6" xfId="0" applyFont="1" applyFill="1" applyBorder="1" applyAlignment="1">
      <alignment vertical="center"/>
    </xf>
    <xf numFmtId="0" fontId="46" fillId="0" borderId="6" xfId="0" applyFont="1" applyFill="1" applyBorder="1" applyAlignment="1">
      <alignment horizontal="center" vertical="center"/>
    </xf>
    <xf numFmtId="9" fontId="9" fillId="0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8" fillId="0" borderId="0" xfId="3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73" fillId="0" borderId="0" xfId="2" applyFont="1" applyAlignment="1">
      <alignment vertical="top"/>
    </xf>
    <xf numFmtId="0" fontId="3" fillId="6" borderId="0" xfId="0" applyFont="1" applyFill="1" applyAlignment="1">
      <alignment horizontal="center" vertical="center" wrapText="1"/>
    </xf>
    <xf numFmtId="14" fontId="13" fillId="6" borderId="0" xfId="0" applyNumberFormat="1" applyFont="1" applyFill="1" applyAlignment="1">
      <alignment horizontal="center" vertical="center"/>
    </xf>
    <xf numFmtId="0" fontId="2" fillId="0" borderId="0" xfId="0" applyFont="1" applyBorder="1"/>
    <xf numFmtId="0" fontId="0" fillId="6" borderId="0" xfId="0" applyFill="1"/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14" fontId="3" fillId="6" borderId="0" xfId="0" applyNumberFormat="1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14" fontId="13" fillId="6" borderId="0" xfId="0" applyNumberFormat="1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6" borderId="0" xfId="0" applyFont="1" applyFill="1" applyBorder="1" applyAlignment="1">
      <alignment horizontal="left" vertical="center" wrapText="1"/>
    </xf>
    <xf numFmtId="14" fontId="9" fillId="6" borderId="0" xfId="0" applyNumberFormat="1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left" vertical="center"/>
    </xf>
    <xf numFmtId="14" fontId="3" fillId="1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8" fillId="0" borderId="6" xfId="0" applyNumberFormat="1" applyFont="1" applyBorder="1" applyAlignment="1">
      <alignment horizontal="center" vertical="center" wrapText="1"/>
    </xf>
    <xf numFmtId="14" fontId="18" fillId="0" borderId="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" fillId="6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</cellXfs>
  <cellStyles count="4">
    <cellStyle name="Hipervínculo" xfId="3" builtinId="8"/>
    <cellStyle name="Moneda" xfId="1" builtinId="4"/>
    <cellStyle name="Normal" xfId="0" builtinId="0"/>
    <cellStyle name="Normal 3" xfId="2" xr:uid="{1D0A6748-0447-44A0-930C-DDF83345A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rsten.hubald@schindler.com" TargetMode="External"/><Relationship Id="rId21" Type="http://schemas.openxmlformats.org/officeDocument/2006/relationships/hyperlink" Target="mailto:luca.lo.presti@schindler.com" TargetMode="External"/><Relationship Id="rId42" Type="http://schemas.openxmlformats.org/officeDocument/2006/relationships/hyperlink" Target="mailto:alberto.brambilla@schindler.com" TargetMode="External"/><Relationship Id="rId63" Type="http://schemas.openxmlformats.org/officeDocument/2006/relationships/hyperlink" Target="mailto:frederic.neau@schindler.com" TargetMode="External"/><Relationship Id="rId84" Type="http://schemas.openxmlformats.org/officeDocument/2006/relationships/hyperlink" Target="mailto:esther.arrieta@schindler.com" TargetMode="External"/><Relationship Id="rId138" Type="http://schemas.openxmlformats.org/officeDocument/2006/relationships/hyperlink" Target="mailto:pascual.izaguerri@schindler.com" TargetMode="External"/><Relationship Id="rId159" Type="http://schemas.openxmlformats.org/officeDocument/2006/relationships/hyperlink" Target="mailto:randy.balde@schindler.com" TargetMode="External"/><Relationship Id="rId170" Type="http://schemas.openxmlformats.org/officeDocument/2006/relationships/hyperlink" Target="mailto:esther.arrieta@schindler.com" TargetMode="External"/><Relationship Id="rId191" Type="http://schemas.openxmlformats.org/officeDocument/2006/relationships/hyperlink" Target="mailto:alberto.brambilla@schindler.com" TargetMode="External"/><Relationship Id="rId205" Type="http://schemas.openxmlformats.org/officeDocument/2006/relationships/hyperlink" Target="mailto:esther.dinganga@schindler.com" TargetMode="External"/><Relationship Id="rId107" Type="http://schemas.openxmlformats.org/officeDocument/2006/relationships/hyperlink" Target="mailto:ramona.scheike@schindler.com" TargetMode="External"/><Relationship Id="rId11" Type="http://schemas.openxmlformats.org/officeDocument/2006/relationships/hyperlink" Target="mailto:jesus.alvarez@schindler.com" TargetMode="External"/><Relationship Id="rId32" Type="http://schemas.openxmlformats.org/officeDocument/2006/relationships/hyperlink" Target="mailto:esther.arrieta@schindler.com" TargetMode="External"/><Relationship Id="rId53" Type="http://schemas.openxmlformats.org/officeDocument/2006/relationships/hyperlink" Target="mailto:cezary.karol.konkol@schindler.com" TargetMode="External"/><Relationship Id="rId74" Type="http://schemas.openxmlformats.org/officeDocument/2006/relationships/hyperlink" Target="mailto:esther.arrieta@schindler.com" TargetMode="External"/><Relationship Id="rId128" Type="http://schemas.openxmlformats.org/officeDocument/2006/relationships/hyperlink" Target="mailto:boris.wolf@schindler.com" TargetMode="External"/><Relationship Id="rId149" Type="http://schemas.openxmlformats.org/officeDocument/2006/relationships/hyperlink" Target="mailto:pascual.izaguerri@schindler.com" TargetMode="External"/><Relationship Id="rId5" Type="http://schemas.openxmlformats.org/officeDocument/2006/relationships/hyperlink" Target="mailto:tomas.bittera@schindler.com" TargetMode="External"/><Relationship Id="rId95" Type="http://schemas.openxmlformats.org/officeDocument/2006/relationships/hyperlink" Target="mailto:jozef.tulinsky@schindler.com" TargetMode="External"/><Relationship Id="rId160" Type="http://schemas.openxmlformats.org/officeDocument/2006/relationships/hyperlink" Target="mailto:jason.risdon@schindler.com" TargetMode="External"/><Relationship Id="rId181" Type="http://schemas.openxmlformats.org/officeDocument/2006/relationships/hyperlink" Target="mailto:cesar.serrablo@schindler.com" TargetMode="External"/><Relationship Id="rId216" Type="http://schemas.openxmlformats.org/officeDocument/2006/relationships/comments" Target="../comments1.xml"/><Relationship Id="rId22" Type="http://schemas.openxmlformats.org/officeDocument/2006/relationships/hyperlink" Target="mailto:michel.haenggi@schindler.com%20*" TargetMode="External"/><Relationship Id="rId43" Type="http://schemas.openxmlformats.org/officeDocument/2006/relationships/hyperlink" Target="mailto:alberto.brambilla@schindler.com" TargetMode="External"/><Relationship Id="rId64" Type="http://schemas.openxmlformats.org/officeDocument/2006/relationships/hyperlink" Target="mailto:Pascual.izaguerri@schindler.com" TargetMode="External"/><Relationship Id="rId118" Type="http://schemas.openxmlformats.org/officeDocument/2006/relationships/hyperlink" Target="mailto:carsten.hubald@schindler.com" TargetMode="External"/><Relationship Id="rId139" Type="http://schemas.openxmlformats.org/officeDocument/2006/relationships/hyperlink" Target="mailto:randy.balde@schindler.com" TargetMode="External"/><Relationship Id="rId85" Type="http://schemas.openxmlformats.org/officeDocument/2006/relationships/hyperlink" Target="mailto:lionel.constantin@schindler.com" TargetMode="External"/><Relationship Id="rId150" Type="http://schemas.openxmlformats.org/officeDocument/2006/relationships/hyperlink" Target="mailto:jesus.alvarez@schindler.com" TargetMode="External"/><Relationship Id="rId171" Type="http://schemas.openxmlformats.org/officeDocument/2006/relationships/hyperlink" Target="mailto:gabriel.wey@schindler.com" TargetMode="External"/><Relationship Id="rId192" Type="http://schemas.openxmlformats.org/officeDocument/2006/relationships/hyperlink" Target="mailto:alberto.brambilla@schindler.com" TargetMode="External"/><Relationship Id="rId206" Type="http://schemas.openxmlformats.org/officeDocument/2006/relationships/hyperlink" Target="mailto:gad.grumberg@schindler.com" TargetMode="External"/><Relationship Id="rId12" Type="http://schemas.openxmlformats.org/officeDocument/2006/relationships/hyperlink" Target="javascript:void(0)" TargetMode="External"/><Relationship Id="rId33" Type="http://schemas.openxmlformats.org/officeDocument/2006/relationships/hyperlink" Target="mailto:esther.arrieta@schindler.com" TargetMode="External"/><Relationship Id="rId108" Type="http://schemas.openxmlformats.org/officeDocument/2006/relationships/hyperlink" Target="mailto:jozef.tulinsky@schindler.com" TargetMode="External"/><Relationship Id="rId129" Type="http://schemas.openxmlformats.org/officeDocument/2006/relationships/hyperlink" Target="mailto:pascual.izaguerri@schindler.com" TargetMode="External"/><Relationship Id="rId54" Type="http://schemas.openxmlformats.org/officeDocument/2006/relationships/hyperlink" Target="mailto:bjoern.banse@schindler.com" TargetMode="External"/><Relationship Id="rId75" Type="http://schemas.openxmlformats.org/officeDocument/2006/relationships/hyperlink" Target="mailto:esther.arrieta@schindler.com" TargetMode="External"/><Relationship Id="rId96" Type="http://schemas.openxmlformats.org/officeDocument/2006/relationships/hyperlink" Target="mailto:alberto.brambilla@schindler.com" TargetMode="External"/><Relationship Id="rId140" Type="http://schemas.openxmlformats.org/officeDocument/2006/relationships/hyperlink" Target="mailto:jason.risdon@schindler.com" TargetMode="External"/><Relationship Id="rId161" Type="http://schemas.openxmlformats.org/officeDocument/2006/relationships/hyperlink" Target="mailto:jakub.koutny@schindler.com" TargetMode="External"/><Relationship Id="rId182" Type="http://schemas.openxmlformats.org/officeDocument/2006/relationships/hyperlink" Target="mailto:cesar.serrablo@schindler.com" TargetMode="External"/><Relationship Id="rId6" Type="http://schemas.openxmlformats.org/officeDocument/2006/relationships/hyperlink" Target="mailto:wojciech.myskiewicz@schindler.com" TargetMode="External"/><Relationship Id="rId23" Type="http://schemas.openxmlformats.org/officeDocument/2006/relationships/hyperlink" Target="mailto:dennis.meitzner@schindler.com" TargetMode="External"/><Relationship Id="rId119" Type="http://schemas.openxmlformats.org/officeDocument/2006/relationships/hyperlink" Target="mailto:jesus.alvarez@schindler.com" TargetMode="External"/><Relationship Id="rId44" Type="http://schemas.openxmlformats.org/officeDocument/2006/relationships/hyperlink" Target="mailto:alberto.brambilla@schindler.com" TargetMode="External"/><Relationship Id="rId65" Type="http://schemas.openxmlformats.org/officeDocument/2006/relationships/hyperlink" Target="mailto:alberto.brambilla@schindler.com" TargetMode="External"/><Relationship Id="rId86" Type="http://schemas.openxmlformats.org/officeDocument/2006/relationships/hyperlink" Target="mailto:esther.arrieta@schindler.com" TargetMode="External"/><Relationship Id="rId130" Type="http://schemas.openxmlformats.org/officeDocument/2006/relationships/hyperlink" Target="mailto:luca.lo.presti@schindler.com" TargetMode="External"/><Relationship Id="rId151" Type="http://schemas.openxmlformats.org/officeDocument/2006/relationships/hyperlink" Target="mailto:saadeldin.fawzi@schindler.com" TargetMode="External"/><Relationship Id="rId172" Type="http://schemas.openxmlformats.org/officeDocument/2006/relationships/hyperlink" Target="mailto:jesus.alvarez@schindler.com" TargetMode="External"/><Relationship Id="rId193" Type="http://schemas.openxmlformats.org/officeDocument/2006/relationships/hyperlink" Target="mailto:esther.arrieta@schindler.com" TargetMode="External"/><Relationship Id="rId207" Type="http://schemas.openxmlformats.org/officeDocument/2006/relationships/hyperlink" Target="mailto:matteo.donati@schindler.com" TargetMode="External"/><Relationship Id="rId13" Type="http://schemas.openxmlformats.org/officeDocument/2006/relationships/hyperlink" Target="javascript:void(0)" TargetMode="External"/><Relationship Id="rId109" Type="http://schemas.openxmlformats.org/officeDocument/2006/relationships/hyperlink" Target="mailto:jozef.tulinsky@schindler.com" TargetMode="External"/><Relationship Id="rId34" Type="http://schemas.openxmlformats.org/officeDocument/2006/relationships/hyperlink" Target="mailto:angel.gea@schindler.com" TargetMode="External"/><Relationship Id="rId55" Type="http://schemas.openxmlformats.org/officeDocument/2006/relationships/hyperlink" Target="mailto:nora.vassova@schindler.com" TargetMode="External"/><Relationship Id="rId76" Type="http://schemas.openxmlformats.org/officeDocument/2006/relationships/hyperlink" Target="mailto:alberto.brambilla@schindler.com" TargetMode="External"/><Relationship Id="rId97" Type="http://schemas.openxmlformats.org/officeDocument/2006/relationships/hyperlink" Target="mailto:julien.lamarca@schindler.com" TargetMode="External"/><Relationship Id="rId120" Type="http://schemas.openxmlformats.org/officeDocument/2006/relationships/hyperlink" Target="mailto:pascual.izaguerri@schindler.com" TargetMode="External"/><Relationship Id="rId141" Type="http://schemas.openxmlformats.org/officeDocument/2006/relationships/hyperlink" Target="mailto:carsten.hubald@schindler.com" TargetMode="External"/><Relationship Id="rId7" Type="http://schemas.openxmlformats.org/officeDocument/2006/relationships/hyperlink" Target="mailto:jesus.alvarez@schindler.com" TargetMode="External"/><Relationship Id="rId162" Type="http://schemas.openxmlformats.org/officeDocument/2006/relationships/hyperlink" Target="mailto:shalandra.nandkumar@schindler.com" TargetMode="External"/><Relationship Id="rId183" Type="http://schemas.openxmlformats.org/officeDocument/2006/relationships/hyperlink" Target="mailto:frederic.neau@schindler.com" TargetMode="External"/><Relationship Id="rId24" Type="http://schemas.openxmlformats.org/officeDocument/2006/relationships/hyperlink" Target="mailto:luis.tudanca@schindler.com" TargetMode="External"/><Relationship Id="rId45" Type="http://schemas.openxmlformats.org/officeDocument/2006/relationships/hyperlink" Target="mailto:alberto.brambilla@schindler.com" TargetMode="External"/><Relationship Id="rId66" Type="http://schemas.openxmlformats.org/officeDocument/2006/relationships/hyperlink" Target="mailto:angel.gea@schindler.com" TargetMode="External"/><Relationship Id="rId87" Type="http://schemas.openxmlformats.org/officeDocument/2006/relationships/hyperlink" Target="mailto:esther.arrieta@schindler.com" TargetMode="External"/><Relationship Id="rId110" Type="http://schemas.openxmlformats.org/officeDocument/2006/relationships/hyperlink" Target="mailto:jesus.alvarez@schindler.com" TargetMode="External"/><Relationship Id="rId131" Type="http://schemas.openxmlformats.org/officeDocument/2006/relationships/hyperlink" Target="mailto:esther.arrieta@schindler.com" TargetMode="External"/><Relationship Id="rId152" Type="http://schemas.openxmlformats.org/officeDocument/2006/relationships/hyperlink" Target="mailto:boris.wolf@schindler.com" TargetMode="External"/><Relationship Id="rId173" Type="http://schemas.openxmlformats.org/officeDocument/2006/relationships/hyperlink" Target="mailto:esther.arrieta@schindler.com" TargetMode="External"/><Relationship Id="rId194" Type="http://schemas.openxmlformats.org/officeDocument/2006/relationships/hyperlink" Target="mailto:federica.artuso@schindler.com" TargetMode="External"/><Relationship Id="rId208" Type="http://schemas.openxmlformats.org/officeDocument/2006/relationships/hyperlink" Target="mailto:esther.arrieta@schindler.com" TargetMode="External"/><Relationship Id="rId19" Type="http://schemas.openxmlformats.org/officeDocument/2006/relationships/hyperlink" Target="mailto:dennis.meitzner@schindler.com" TargetMode="External"/><Relationship Id="rId14" Type="http://schemas.openxmlformats.org/officeDocument/2006/relationships/hyperlink" Target="javascript:void(0)" TargetMode="External"/><Relationship Id="rId30" Type="http://schemas.openxmlformats.org/officeDocument/2006/relationships/hyperlink" Target="mailto:frederic.neau@schindler.com" TargetMode="External"/><Relationship Id="rId35" Type="http://schemas.openxmlformats.org/officeDocument/2006/relationships/hyperlink" Target="mailto:adam.kulcsar@schindler.com" TargetMode="External"/><Relationship Id="rId56" Type="http://schemas.openxmlformats.org/officeDocument/2006/relationships/hyperlink" Target="mailto:jozef.tulinsky@schindler.com" TargetMode="External"/><Relationship Id="rId77" Type="http://schemas.openxmlformats.org/officeDocument/2006/relationships/hyperlink" Target="mailto:jesus.alvarez@schindler.com" TargetMode="External"/><Relationship Id="rId100" Type="http://schemas.openxmlformats.org/officeDocument/2006/relationships/hyperlink" Target="mailto:jesus.alvarez@schindler.com" TargetMode="External"/><Relationship Id="rId105" Type="http://schemas.openxmlformats.org/officeDocument/2006/relationships/hyperlink" Target="mailto:gad.grumberg@schindler.com" TargetMode="External"/><Relationship Id="rId126" Type="http://schemas.openxmlformats.org/officeDocument/2006/relationships/hyperlink" Target="mailto:christopher.scheuber@schindler.com" TargetMode="External"/><Relationship Id="rId147" Type="http://schemas.openxmlformats.org/officeDocument/2006/relationships/hyperlink" Target="mailto:isaac.herraiz@schindler.com" TargetMode="External"/><Relationship Id="rId168" Type="http://schemas.openxmlformats.org/officeDocument/2006/relationships/hyperlink" Target="mailto:isaac.herraiz@schindler.com" TargetMode="External"/><Relationship Id="rId8" Type="http://schemas.openxmlformats.org/officeDocument/2006/relationships/hyperlink" Target="mailto:urban.mihelic@schindler.com" TargetMode="External"/><Relationship Id="rId51" Type="http://schemas.openxmlformats.org/officeDocument/2006/relationships/hyperlink" Target="mailto:gundula.glindemann@schindler.com" TargetMode="External"/><Relationship Id="rId72" Type="http://schemas.openxmlformats.org/officeDocument/2006/relationships/hyperlink" Target="mailto:silvia.giangrande@schindler.com" TargetMode="External"/><Relationship Id="rId93" Type="http://schemas.openxmlformats.org/officeDocument/2006/relationships/hyperlink" Target="mailto:esther.arrieta@schindler.com" TargetMode="External"/><Relationship Id="rId98" Type="http://schemas.openxmlformats.org/officeDocument/2006/relationships/hyperlink" Target="mailto:jesus.alvarez@schindler.com" TargetMode="External"/><Relationship Id="rId121" Type="http://schemas.openxmlformats.org/officeDocument/2006/relationships/hyperlink" Target="mailto:esther.arrieta@schindler.com" TargetMode="External"/><Relationship Id="rId142" Type="http://schemas.openxmlformats.org/officeDocument/2006/relationships/hyperlink" Target="mailto:jason.risdon@schindler.com" TargetMode="External"/><Relationship Id="rId163" Type="http://schemas.openxmlformats.org/officeDocument/2006/relationships/hyperlink" Target="mailto:boris.wolf@schindler.com" TargetMode="External"/><Relationship Id="rId184" Type="http://schemas.openxmlformats.org/officeDocument/2006/relationships/hyperlink" Target="mailto:messaoud.nouri@schindler.com" TargetMode="External"/><Relationship Id="rId189" Type="http://schemas.openxmlformats.org/officeDocument/2006/relationships/hyperlink" Target="mailto:esther.arrieta@schindler.com" TargetMode="External"/><Relationship Id="rId3" Type="http://schemas.openxmlformats.org/officeDocument/2006/relationships/hyperlink" Target="mailto:tomas.bittera@schindler.com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mailto:michel.haenggi@schindler.com" TargetMode="External"/><Relationship Id="rId46" Type="http://schemas.openxmlformats.org/officeDocument/2006/relationships/hyperlink" Target="mailto:alberto.brambilla@schindler.com" TargetMode="External"/><Relationship Id="rId67" Type="http://schemas.openxmlformats.org/officeDocument/2006/relationships/hyperlink" Target="mailto:Pascual.izaguerri@schindler.com" TargetMode="External"/><Relationship Id="rId116" Type="http://schemas.openxmlformats.org/officeDocument/2006/relationships/hyperlink" Target="mailto:frederic.neau@schindler.com" TargetMode="External"/><Relationship Id="rId137" Type="http://schemas.openxmlformats.org/officeDocument/2006/relationships/hyperlink" Target="mailto:esther.palacin@schindler.com" TargetMode="External"/><Relationship Id="rId158" Type="http://schemas.openxmlformats.org/officeDocument/2006/relationships/hyperlink" Target="mailto:pascual.izaguerri@schindler.com" TargetMode="External"/><Relationship Id="rId20" Type="http://schemas.openxmlformats.org/officeDocument/2006/relationships/hyperlink" Target="mailto:lukas.zeder@schindler.com" TargetMode="External"/><Relationship Id="rId41" Type="http://schemas.openxmlformats.org/officeDocument/2006/relationships/hyperlink" Target="mailto:gad.grumberg@schindler.com" TargetMode="External"/><Relationship Id="rId62" Type="http://schemas.openxmlformats.org/officeDocument/2006/relationships/hyperlink" Target="mailto:Pascual.izaguerri@schindler.com" TargetMode="External"/><Relationship Id="rId83" Type="http://schemas.openxmlformats.org/officeDocument/2006/relationships/hyperlink" Target="mailto:Pascual.izaguerri@schindler.com" TargetMode="External"/><Relationship Id="rId88" Type="http://schemas.openxmlformats.org/officeDocument/2006/relationships/hyperlink" Target="mailto:jozef.tulinsky@schindler.com" TargetMode="External"/><Relationship Id="rId111" Type="http://schemas.openxmlformats.org/officeDocument/2006/relationships/hyperlink" Target="mailto:jesus.alvarez@schindler.com" TargetMode="External"/><Relationship Id="rId132" Type="http://schemas.openxmlformats.org/officeDocument/2006/relationships/hyperlink" Target="mailto:saadeldin.fawzi@schindler.com" TargetMode="External"/><Relationship Id="rId153" Type="http://schemas.openxmlformats.org/officeDocument/2006/relationships/hyperlink" Target="mailto:jesus.alvarez@schindler.com" TargetMode="External"/><Relationship Id="rId174" Type="http://schemas.openxmlformats.org/officeDocument/2006/relationships/hyperlink" Target="mailto:joerg.waidner@schindler.com" TargetMode="External"/><Relationship Id="rId179" Type="http://schemas.openxmlformats.org/officeDocument/2006/relationships/hyperlink" Target="mailto:cesar.serrablo@schindler.com" TargetMode="External"/><Relationship Id="rId195" Type="http://schemas.openxmlformats.org/officeDocument/2006/relationships/hyperlink" Target="mailto:luis.rodriguez@schindler.com" TargetMode="External"/><Relationship Id="rId209" Type="http://schemas.openxmlformats.org/officeDocument/2006/relationships/hyperlink" Target="mailto:jesus.alvarez@schindler.com" TargetMode="External"/><Relationship Id="rId190" Type="http://schemas.openxmlformats.org/officeDocument/2006/relationships/hyperlink" Target="mailto:esther.arrieta@schindler.com" TargetMode="External"/><Relationship Id="rId204" Type="http://schemas.openxmlformats.org/officeDocument/2006/relationships/hyperlink" Target="mailto:messaoud.nouri@schindler.com" TargetMode="External"/><Relationship Id="rId15" Type="http://schemas.openxmlformats.org/officeDocument/2006/relationships/hyperlink" Target="javascript:void(0)" TargetMode="External"/><Relationship Id="rId36" Type="http://schemas.openxmlformats.org/officeDocument/2006/relationships/hyperlink" Target="mailto:adam.kulcsar@schindler.com" TargetMode="External"/><Relationship Id="rId57" Type="http://schemas.openxmlformats.org/officeDocument/2006/relationships/hyperlink" Target="mailto:saadeldin.fawzi@schindler.com" TargetMode="External"/><Relationship Id="rId106" Type="http://schemas.openxmlformats.org/officeDocument/2006/relationships/hyperlink" Target="mailto:esther.arrieta@schindler.com" TargetMode="External"/><Relationship Id="rId127" Type="http://schemas.openxmlformats.org/officeDocument/2006/relationships/hyperlink" Target="mailto:davinia.sobradiel@schindler.com" TargetMode="External"/><Relationship Id="rId10" Type="http://schemas.openxmlformats.org/officeDocument/2006/relationships/hyperlink" Target="mailto:cesar.serrablo@schindler.com" TargetMode="External"/><Relationship Id="rId31" Type="http://schemas.openxmlformats.org/officeDocument/2006/relationships/hyperlink" Target="mailto:esther.arrieta@schindler.com" TargetMode="External"/><Relationship Id="rId52" Type="http://schemas.openxmlformats.org/officeDocument/2006/relationships/hyperlink" Target="mailto:luca.lo.presti@schindler.com/milun.durovic@schindler.com" TargetMode="External"/><Relationship Id="rId73" Type="http://schemas.openxmlformats.org/officeDocument/2006/relationships/hyperlink" Target="mailto:esther.arrieta@schindler.com" TargetMode="External"/><Relationship Id="rId78" Type="http://schemas.openxmlformats.org/officeDocument/2006/relationships/hyperlink" Target="mailto:alberto.brambilla@schindler.com" TargetMode="External"/><Relationship Id="rId94" Type="http://schemas.openxmlformats.org/officeDocument/2006/relationships/hyperlink" Target="mailto:esther.arrieta@schindler.com" TargetMode="External"/><Relationship Id="rId99" Type="http://schemas.openxmlformats.org/officeDocument/2006/relationships/hyperlink" Target="mailto:gad.grumberg@schindler.com" TargetMode="External"/><Relationship Id="rId101" Type="http://schemas.openxmlformats.org/officeDocument/2006/relationships/hyperlink" Target="mailto:boris.wolf@schindler.com" TargetMode="External"/><Relationship Id="rId122" Type="http://schemas.openxmlformats.org/officeDocument/2006/relationships/hyperlink" Target="mailto:esther.arrieta@schindler.com" TargetMode="External"/><Relationship Id="rId143" Type="http://schemas.openxmlformats.org/officeDocument/2006/relationships/hyperlink" Target="mailto:jesus.alvarez@schindler.com" TargetMode="External"/><Relationship Id="rId148" Type="http://schemas.openxmlformats.org/officeDocument/2006/relationships/hyperlink" Target="mailto:adrian.doerig@schindler.com" TargetMode="External"/><Relationship Id="rId164" Type="http://schemas.openxmlformats.org/officeDocument/2006/relationships/hyperlink" Target="mailto:reto.pleisch@schindler.com" TargetMode="External"/><Relationship Id="rId169" Type="http://schemas.openxmlformats.org/officeDocument/2006/relationships/hyperlink" Target="mailto:alberto.brambilla@schindler.com" TargetMode="External"/><Relationship Id="rId185" Type="http://schemas.openxmlformats.org/officeDocument/2006/relationships/hyperlink" Target="mailto:messaoud.nouri@schindler.com" TargetMode="External"/><Relationship Id="rId4" Type="http://schemas.openxmlformats.org/officeDocument/2006/relationships/hyperlink" Target="mailto:tomas.bittera@schindler.com" TargetMode="External"/><Relationship Id="rId9" Type="http://schemas.openxmlformats.org/officeDocument/2006/relationships/hyperlink" Target="mailto:martin.studeny@schindler.com" TargetMode="External"/><Relationship Id="rId180" Type="http://schemas.openxmlformats.org/officeDocument/2006/relationships/hyperlink" Target="mailto:cesar.serrablo@schindler.com" TargetMode="External"/><Relationship Id="rId210" Type="http://schemas.openxmlformats.org/officeDocument/2006/relationships/hyperlink" Target="mailto:anthony.desmaele@schindler.com" TargetMode="External"/><Relationship Id="rId215" Type="http://schemas.openxmlformats.org/officeDocument/2006/relationships/vmlDrawing" Target="../drawings/vmlDrawing1.vml"/><Relationship Id="rId26" Type="http://schemas.openxmlformats.org/officeDocument/2006/relationships/hyperlink" Target="mailto:bjoern.banse@schindler.com/marc.sebastian.staroske@schindler.com" TargetMode="External"/><Relationship Id="rId47" Type="http://schemas.openxmlformats.org/officeDocument/2006/relationships/hyperlink" Target="mailto:alberto.brambilla@schindler.com" TargetMode="External"/><Relationship Id="rId68" Type="http://schemas.openxmlformats.org/officeDocument/2006/relationships/hyperlink" Target="mailto:esther.arrieta@schindler.com" TargetMode="External"/><Relationship Id="rId89" Type="http://schemas.openxmlformats.org/officeDocument/2006/relationships/hyperlink" Target="mailto:alberto.brambilla@schindler.com" TargetMode="External"/><Relationship Id="rId112" Type="http://schemas.openxmlformats.org/officeDocument/2006/relationships/hyperlink" Target="mailto:boris.wolf@schindler.com" TargetMode="External"/><Relationship Id="rId133" Type="http://schemas.openxmlformats.org/officeDocument/2006/relationships/hyperlink" Target="mailto:gabriele.bizzozero@schindler.com" TargetMode="External"/><Relationship Id="rId154" Type="http://schemas.openxmlformats.org/officeDocument/2006/relationships/hyperlink" Target="mailto:ludovic.haueter@schindler.com" TargetMode="External"/><Relationship Id="rId175" Type="http://schemas.openxmlformats.org/officeDocument/2006/relationships/hyperlink" Target="mailto:pascual.izaguerri@schindler.com" TargetMode="External"/><Relationship Id="rId196" Type="http://schemas.openxmlformats.org/officeDocument/2006/relationships/hyperlink" Target="mailto:alberto.brambilla@schindler.com" TargetMode="External"/><Relationship Id="rId200" Type="http://schemas.openxmlformats.org/officeDocument/2006/relationships/hyperlink" Target="mailto:frederic.neau@schindler.com" TargetMode="External"/><Relationship Id="rId16" Type="http://schemas.openxmlformats.org/officeDocument/2006/relationships/hyperlink" Target="mailto:cesar.serrablo@schindler.com" TargetMode="External"/><Relationship Id="rId37" Type="http://schemas.openxmlformats.org/officeDocument/2006/relationships/hyperlink" Target="mailto:bartosz.kaczorowski@schindler.com" TargetMode="External"/><Relationship Id="rId58" Type="http://schemas.openxmlformats.org/officeDocument/2006/relationships/hyperlink" Target="mailto:angel.gea@schindler.com" TargetMode="External"/><Relationship Id="rId79" Type="http://schemas.openxmlformats.org/officeDocument/2006/relationships/hyperlink" Target="mailto:jozef.tulinsky@schindler.com" TargetMode="External"/><Relationship Id="rId102" Type="http://schemas.openxmlformats.org/officeDocument/2006/relationships/hyperlink" Target="mailto:Pascual.izaguerri@schindler.com" TargetMode="External"/><Relationship Id="rId123" Type="http://schemas.openxmlformats.org/officeDocument/2006/relationships/hyperlink" Target="mailto:pascual.izaguerri@schindler.com" TargetMode="External"/><Relationship Id="rId144" Type="http://schemas.openxmlformats.org/officeDocument/2006/relationships/hyperlink" Target="mailto:jesus.alvarez@schindler.com" TargetMode="External"/><Relationship Id="rId90" Type="http://schemas.openxmlformats.org/officeDocument/2006/relationships/hyperlink" Target="mailto:jesus.alvarez@schindler.com" TargetMode="External"/><Relationship Id="rId165" Type="http://schemas.openxmlformats.org/officeDocument/2006/relationships/hyperlink" Target="mailto:vedran.volic@schindler.com" TargetMode="External"/><Relationship Id="rId186" Type="http://schemas.openxmlformats.org/officeDocument/2006/relationships/hyperlink" Target="mailto:marc.sebastian.staroske@schindler.com" TargetMode="External"/><Relationship Id="rId211" Type="http://schemas.openxmlformats.org/officeDocument/2006/relationships/hyperlink" Target="mailto:anthony.desmaele@schindler.com" TargetMode="External"/><Relationship Id="rId27" Type="http://schemas.openxmlformats.org/officeDocument/2006/relationships/hyperlink" Target="mailto:jesus.alvarez@schindler.com" TargetMode="External"/><Relationship Id="rId48" Type="http://schemas.openxmlformats.org/officeDocument/2006/relationships/hyperlink" Target="mailto:marcel.boeser@schindler.com" TargetMode="External"/><Relationship Id="rId69" Type="http://schemas.openxmlformats.org/officeDocument/2006/relationships/hyperlink" Target="mailto:esther.arrieta@schindler.com" TargetMode="External"/><Relationship Id="rId113" Type="http://schemas.openxmlformats.org/officeDocument/2006/relationships/hyperlink" Target="mailto:boris.wolf@schindler.com" TargetMode="External"/><Relationship Id="rId134" Type="http://schemas.openxmlformats.org/officeDocument/2006/relationships/hyperlink" Target="mailto:esther.arrieta@schindler.com" TargetMode="External"/><Relationship Id="rId80" Type="http://schemas.openxmlformats.org/officeDocument/2006/relationships/hyperlink" Target="mailto:esther.arrieta@schindler.com" TargetMode="External"/><Relationship Id="rId155" Type="http://schemas.openxmlformats.org/officeDocument/2006/relationships/hyperlink" Target="mailto:joerg.waidner@schindler.com" TargetMode="External"/><Relationship Id="rId176" Type="http://schemas.openxmlformats.org/officeDocument/2006/relationships/hyperlink" Target="mailto:pascual.izaguerri@schindler.com" TargetMode="External"/><Relationship Id="rId197" Type="http://schemas.openxmlformats.org/officeDocument/2006/relationships/hyperlink" Target="mailto:alberto.brambilla@schindler.com" TargetMode="External"/><Relationship Id="rId201" Type="http://schemas.openxmlformats.org/officeDocument/2006/relationships/hyperlink" Target="mailto:messaoud.nouri@schindler.com" TargetMode="External"/><Relationship Id="rId17" Type="http://schemas.openxmlformats.org/officeDocument/2006/relationships/hyperlink" Target="mailto:zdenko.tkalec@schindler.com" TargetMode="External"/><Relationship Id="rId38" Type="http://schemas.openxmlformats.org/officeDocument/2006/relationships/hyperlink" Target="mailto:esther.arrieta@schindler.com" TargetMode="External"/><Relationship Id="rId59" Type="http://schemas.openxmlformats.org/officeDocument/2006/relationships/hyperlink" Target="mailto:esther.arrieta@schindler.com" TargetMode="External"/><Relationship Id="rId103" Type="http://schemas.openxmlformats.org/officeDocument/2006/relationships/hyperlink" Target="mailto:gad.grumberg@schindler.com" TargetMode="External"/><Relationship Id="rId124" Type="http://schemas.openxmlformats.org/officeDocument/2006/relationships/hyperlink" Target="mailto:boris.wolf@schindler.com" TargetMode="External"/><Relationship Id="rId70" Type="http://schemas.openxmlformats.org/officeDocument/2006/relationships/hyperlink" Target="mailto:adrian.doerig@schindler.com" TargetMode="External"/><Relationship Id="rId91" Type="http://schemas.openxmlformats.org/officeDocument/2006/relationships/hyperlink" Target="mailto:mikulas.molnar@schindler.com" TargetMode="External"/><Relationship Id="rId145" Type="http://schemas.openxmlformats.org/officeDocument/2006/relationships/hyperlink" Target="mailto:randy.balde@schindler.com" TargetMode="External"/><Relationship Id="rId166" Type="http://schemas.openxmlformats.org/officeDocument/2006/relationships/hyperlink" Target="mailto:luis.rodriguez@schindler.com" TargetMode="External"/><Relationship Id="rId187" Type="http://schemas.openxmlformats.org/officeDocument/2006/relationships/hyperlink" Target="mailto:esther.arrieta@schindler.com" TargetMode="External"/><Relationship Id="rId1" Type="http://schemas.openxmlformats.org/officeDocument/2006/relationships/hyperlink" Target="mailto:gian-carlo.pallavicini@schindler.com" TargetMode="External"/><Relationship Id="rId212" Type="http://schemas.openxmlformats.org/officeDocument/2006/relationships/hyperlink" Target="mailto:johan.nevelsteen@schindler.com" TargetMode="External"/><Relationship Id="rId28" Type="http://schemas.openxmlformats.org/officeDocument/2006/relationships/hyperlink" Target="mailto:arnold.zimmermann@schindler.com" TargetMode="External"/><Relationship Id="rId49" Type="http://schemas.openxmlformats.org/officeDocument/2006/relationships/hyperlink" Target="mailto:alberto.brambilla@schindler.com" TargetMode="External"/><Relationship Id="rId114" Type="http://schemas.openxmlformats.org/officeDocument/2006/relationships/hyperlink" Target="mailto:boris.wolf@schindler.com" TargetMode="External"/><Relationship Id="rId60" Type="http://schemas.openxmlformats.org/officeDocument/2006/relationships/hyperlink" Target="mailto:Pascual.izaguerri@schindler.com" TargetMode="External"/><Relationship Id="rId81" Type="http://schemas.openxmlformats.org/officeDocument/2006/relationships/hyperlink" Target="mailto:esther.arrieta@schindler.com" TargetMode="External"/><Relationship Id="rId135" Type="http://schemas.openxmlformats.org/officeDocument/2006/relationships/hyperlink" Target="mailto:pascual.izaguerri@schindler.com" TargetMode="External"/><Relationship Id="rId156" Type="http://schemas.openxmlformats.org/officeDocument/2006/relationships/hyperlink" Target="mailto:pascual.izaguerri@schindler.com" TargetMode="External"/><Relationship Id="rId177" Type="http://schemas.openxmlformats.org/officeDocument/2006/relationships/hyperlink" Target="mailto:luis.rodriguez@schindler.com" TargetMode="External"/><Relationship Id="rId198" Type="http://schemas.openxmlformats.org/officeDocument/2006/relationships/hyperlink" Target="mailto:jesus.alvarez@schindler.com" TargetMode="External"/><Relationship Id="rId202" Type="http://schemas.openxmlformats.org/officeDocument/2006/relationships/hyperlink" Target="mailto:esther.arrieta@schindler.com" TargetMode="External"/><Relationship Id="rId18" Type="http://schemas.openxmlformats.org/officeDocument/2006/relationships/hyperlink" Target="mailto:dennis.meitzner@schindler.com" TargetMode="External"/><Relationship Id="rId39" Type="http://schemas.openxmlformats.org/officeDocument/2006/relationships/hyperlink" Target="mailto:josemaria.obis@schindler.com" TargetMode="External"/><Relationship Id="rId50" Type="http://schemas.openxmlformats.org/officeDocument/2006/relationships/hyperlink" Target="mailto:sergio.gotor@schindler.com" TargetMode="External"/><Relationship Id="rId104" Type="http://schemas.openxmlformats.org/officeDocument/2006/relationships/hyperlink" Target="mailto:gad.grumberg@schindler.com" TargetMode="External"/><Relationship Id="rId125" Type="http://schemas.openxmlformats.org/officeDocument/2006/relationships/hyperlink" Target="mailto:gad.grumberg@schindler.com" TargetMode="External"/><Relationship Id="rId146" Type="http://schemas.openxmlformats.org/officeDocument/2006/relationships/hyperlink" Target="mailto:jvan.terracciano@schindler.com" TargetMode="External"/><Relationship Id="rId167" Type="http://schemas.openxmlformats.org/officeDocument/2006/relationships/hyperlink" Target="mailto:luis.rodriguez@schindler.com" TargetMode="External"/><Relationship Id="rId188" Type="http://schemas.openxmlformats.org/officeDocument/2006/relationships/hyperlink" Target="mailto:alberto.brambilla@schindler.com" TargetMode="External"/><Relationship Id="rId71" Type="http://schemas.openxmlformats.org/officeDocument/2006/relationships/hyperlink" Target="mailto:ana.marco@schindler.com" TargetMode="External"/><Relationship Id="rId92" Type="http://schemas.openxmlformats.org/officeDocument/2006/relationships/hyperlink" Target="mailto:jozef.tulinsky@schindler.com" TargetMode="External"/><Relationship Id="rId213" Type="http://schemas.openxmlformats.org/officeDocument/2006/relationships/hyperlink" Target="mailto:esther.arrieta@schindler.com" TargetMode="External"/><Relationship Id="rId2" Type="http://schemas.openxmlformats.org/officeDocument/2006/relationships/hyperlink" Target="mailto:nora.vassova@schindler.com" TargetMode="External"/><Relationship Id="rId29" Type="http://schemas.openxmlformats.org/officeDocument/2006/relationships/hyperlink" Target="mailto:frederic.neau@schindler.com" TargetMode="External"/><Relationship Id="rId40" Type="http://schemas.openxmlformats.org/officeDocument/2006/relationships/hyperlink" Target="mailto:esther.arrieta@schindler.com" TargetMode="External"/><Relationship Id="rId115" Type="http://schemas.openxmlformats.org/officeDocument/2006/relationships/hyperlink" Target="mailto:pascual.izaguerri@schindler.com" TargetMode="External"/><Relationship Id="rId136" Type="http://schemas.openxmlformats.org/officeDocument/2006/relationships/hyperlink" Target="mailto:esther.arrieta@schindler.com" TargetMode="External"/><Relationship Id="rId157" Type="http://schemas.openxmlformats.org/officeDocument/2006/relationships/hyperlink" Target="mailto:alberto.brambilla@schindler.com" TargetMode="External"/><Relationship Id="rId178" Type="http://schemas.openxmlformats.org/officeDocument/2006/relationships/hyperlink" Target="mailto:cesar.serrablo@schindler.com" TargetMode="External"/><Relationship Id="rId61" Type="http://schemas.openxmlformats.org/officeDocument/2006/relationships/hyperlink" Target="mailto:Pascual.izaguerri@schindler.com" TargetMode="External"/><Relationship Id="rId82" Type="http://schemas.openxmlformats.org/officeDocument/2006/relationships/hyperlink" Target="mailto:Pascual.izaguerri@schindler.com" TargetMode="External"/><Relationship Id="rId199" Type="http://schemas.openxmlformats.org/officeDocument/2006/relationships/hyperlink" Target="mailto:teodora.nastase@schindler.com" TargetMode="External"/><Relationship Id="rId203" Type="http://schemas.openxmlformats.org/officeDocument/2006/relationships/hyperlink" Target="mailto:esther.arrieta@schind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F4F-0216-4BF2-82B0-F50A69ED459A}">
  <sheetPr codeName="List1"/>
  <dimension ref="A1:BD631"/>
  <sheetViews>
    <sheetView tabSelected="1" zoomScale="120" zoomScaleNormal="120" workbookViewId="0">
      <pane ySplit="1" topLeftCell="A379" activePane="bottomLeft" state="frozen"/>
      <selection pane="bottomLeft" activeCell="C490" sqref="C490"/>
    </sheetView>
  </sheetViews>
  <sheetFormatPr baseColWidth="10" defaultColWidth="9.33203125" defaultRowHeight="13.8" outlineLevelCol="1"/>
  <cols>
    <col min="1" max="1" width="35.109375" style="1" customWidth="1"/>
    <col min="2" max="2" width="10.5546875" style="5" customWidth="1"/>
    <col min="3" max="3" width="41.109375" style="4" customWidth="1"/>
    <col min="4" max="4" width="11.109375" style="187" customWidth="1"/>
    <col min="5" max="5" width="10" style="2" customWidth="1"/>
    <col min="6" max="6" width="12.88671875" style="101" customWidth="1"/>
    <col min="7" max="7" width="16.6640625" style="116" customWidth="1"/>
    <col min="8" max="8" width="44" style="3" customWidth="1" outlineLevel="1"/>
    <col min="9" max="9" width="18.6640625" style="116" customWidth="1" outlineLevel="1"/>
    <col min="10" max="10" width="12.33203125" style="57" customWidth="1" outlineLevel="1"/>
    <col min="11" max="11" width="18.5546875" style="4" customWidth="1" outlineLevel="1"/>
    <col min="12" max="12" width="68" style="1" customWidth="1" outlineLevel="1"/>
    <col min="13" max="13" width="9.33203125" style="1" customWidth="1" outlineLevel="1"/>
    <col min="14" max="14" width="10.6640625" style="2" customWidth="1"/>
    <col min="15" max="15" width="58.44140625" style="2" customWidth="1"/>
    <col min="16" max="16" width="10.33203125" style="2" customWidth="1"/>
    <col min="17" max="17" width="14.33203125" style="2" customWidth="1"/>
    <col min="18" max="18" width="12" style="2" customWidth="1"/>
    <col min="19" max="20" width="12.6640625" style="2" customWidth="1"/>
    <col min="21" max="21" width="9.33203125" style="2" customWidth="1"/>
    <col min="22" max="22" width="39.6640625" style="1" customWidth="1"/>
    <col min="23" max="23" width="11.6640625" style="2" customWidth="1"/>
    <col min="24" max="24" width="25.6640625" style="1" customWidth="1"/>
    <col min="25" max="25" width="17.33203125" style="5" customWidth="1"/>
    <col min="26" max="26" width="33" style="3" customWidth="1"/>
    <col min="27" max="27" width="40.6640625" style="1" customWidth="1"/>
    <col min="28" max="28" width="55.6640625" style="1" customWidth="1"/>
    <col min="29" max="16384" width="9.33203125" style="1"/>
  </cols>
  <sheetData>
    <row r="1" spans="1:26" s="52" customFormat="1" ht="83.4" thickBot="1">
      <c r="A1" s="58" t="s">
        <v>0</v>
      </c>
      <c r="B1" s="58" t="s">
        <v>792</v>
      </c>
      <c r="C1" s="251" t="s">
        <v>1663</v>
      </c>
      <c r="D1" s="58" t="s">
        <v>790</v>
      </c>
      <c r="E1" s="58" t="s">
        <v>766</v>
      </c>
      <c r="F1" s="98" t="s">
        <v>793</v>
      </c>
      <c r="G1" s="58" t="s">
        <v>789</v>
      </c>
      <c r="H1" s="250" t="s">
        <v>1</v>
      </c>
      <c r="I1" s="58" t="s">
        <v>2</v>
      </c>
      <c r="J1" s="57" t="s">
        <v>1066</v>
      </c>
      <c r="K1" s="419" t="s">
        <v>804</v>
      </c>
      <c r="L1" s="58" t="s">
        <v>3</v>
      </c>
      <c r="M1" s="626" t="s">
        <v>4</v>
      </c>
      <c r="N1" s="59" t="s">
        <v>956</v>
      </c>
      <c r="O1" s="59" t="s">
        <v>783</v>
      </c>
      <c r="P1" s="59" t="s">
        <v>1530</v>
      </c>
      <c r="Q1" s="59" t="s">
        <v>1019</v>
      </c>
      <c r="R1" s="59" t="s">
        <v>784</v>
      </c>
      <c r="S1" s="59" t="s">
        <v>785</v>
      </c>
      <c r="T1" s="59" t="s">
        <v>791</v>
      </c>
      <c r="U1" s="122" t="s">
        <v>788</v>
      </c>
      <c r="V1" s="58" t="s">
        <v>5</v>
      </c>
      <c r="W1" s="58" t="s">
        <v>6</v>
      </c>
      <c r="X1" s="169" t="s">
        <v>1038</v>
      </c>
      <c r="Y1" s="58" t="s">
        <v>797</v>
      </c>
      <c r="Z1" s="60" t="s">
        <v>7</v>
      </c>
    </row>
    <row r="2" spans="1:26" s="11" customFormat="1">
      <c r="A2" s="11" t="s">
        <v>8</v>
      </c>
      <c r="B2" s="583">
        <v>45222</v>
      </c>
      <c r="C2" s="18" t="s">
        <v>9</v>
      </c>
      <c r="D2" s="261" t="s">
        <v>11</v>
      </c>
      <c r="E2" s="7"/>
      <c r="F2" s="99">
        <v>45261</v>
      </c>
      <c r="G2" s="57"/>
      <c r="H2" s="6" t="s">
        <v>10</v>
      </c>
      <c r="I2" s="261"/>
      <c r="J2" s="57"/>
      <c r="K2" s="16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16"/>
      <c r="Z2" s="6"/>
    </row>
    <row r="3" spans="1:26" s="11" customFormat="1">
      <c r="A3" s="11" t="s">
        <v>12</v>
      </c>
      <c r="B3" s="583">
        <v>45225</v>
      </c>
      <c r="C3" s="18" t="s">
        <v>13</v>
      </c>
      <c r="D3" s="57" t="s">
        <v>15</v>
      </c>
      <c r="E3" s="7"/>
      <c r="F3" s="64" t="s">
        <v>15</v>
      </c>
      <c r="G3" s="57"/>
      <c r="H3" s="6" t="s">
        <v>14</v>
      </c>
      <c r="I3" s="57"/>
      <c r="J3" s="57"/>
      <c r="K3" s="1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6"/>
      <c r="Z3" s="6"/>
    </row>
    <row r="4" spans="1:26" s="11" customFormat="1">
      <c r="A4" s="11" t="s">
        <v>12</v>
      </c>
      <c r="B4" s="583">
        <v>45237</v>
      </c>
      <c r="C4" s="18" t="s">
        <v>16</v>
      </c>
      <c r="D4" s="57" t="s">
        <v>15</v>
      </c>
      <c r="E4" s="7"/>
      <c r="F4" s="64" t="s">
        <v>15</v>
      </c>
      <c r="G4" s="57"/>
      <c r="H4" s="6" t="s">
        <v>17</v>
      </c>
      <c r="I4" s="57"/>
      <c r="J4" s="57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6"/>
      <c r="Z4" s="6"/>
    </row>
    <row r="5" spans="1:26" s="11" customFormat="1">
      <c r="A5" s="11" t="s">
        <v>8</v>
      </c>
      <c r="B5" s="583">
        <v>45237</v>
      </c>
      <c r="C5" s="18" t="s">
        <v>18</v>
      </c>
      <c r="D5" s="57">
        <v>6809</v>
      </c>
      <c r="E5" s="7"/>
      <c r="F5" s="64"/>
      <c r="G5" s="57"/>
      <c r="H5" s="6" t="s">
        <v>19</v>
      </c>
      <c r="I5" s="57">
        <v>4539162267</v>
      </c>
      <c r="J5" s="57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6"/>
    </row>
    <row r="6" spans="1:26" s="18" customFormat="1" ht="27.6">
      <c r="A6" s="18" t="s">
        <v>20</v>
      </c>
      <c r="B6" s="583">
        <v>45300</v>
      </c>
      <c r="C6" s="18" t="s">
        <v>21</v>
      </c>
      <c r="D6" s="58"/>
      <c r="E6" s="16"/>
      <c r="F6" s="66"/>
      <c r="G6" s="58"/>
      <c r="H6" s="56" t="s">
        <v>22</v>
      </c>
      <c r="I6" s="58"/>
      <c r="J6" s="839"/>
      <c r="K6" s="16"/>
      <c r="L6" s="56" t="s">
        <v>23</v>
      </c>
      <c r="M6" s="16"/>
      <c r="N6" s="829"/>
      <c r="O6" s="16"/>
      <c r="P6" s="16"/>
      <c r="Q6" s="16"/>
      <c r="R6" s="16"/>
      <c r="S6" s="16"/>
      <c r="T6" s="16"/>
      <c r="U6" s="16"/>
      <c r="V6" s="56" t="s">
        <v>24</v>
      </c>
      <c r="W6" s="16">
        <v>2</v>
      </c>
      <c r="X6" s="16" t="s">
        <v>25</v>
      </c>
      <c r="Y6" s="16">
        <v>67</v>
      </c>
      <c r="Z6" s="679" t="s">
        <v>26</v>
      </c>
    </row>
    <row r="7" spans="1:26" s="18" customFormat="1" ht="27.6">
      <c r="A7" s="18" t="s">
        <v>20</v>
      </c>
      <c r="B7" s="583">
        <v>45302</v>
      </c>
      <c r="C7" s="18" t="s">
        <v>800</v>
      </c>
      <c r="D7" s="58">
        <v>6778</v>
      </c>
      <c r="E7" s="16"/>
      <c r="F7" s="66" t="s">
        <v>30</v>
      </c>
      <c r="G7" s="58"/>
      <c r="H7" s="56" t="s">
        <v>22</v>
      </c>
      <c r="I7" s="58">
        <v>4539148714</v>
      </c>
      <c r="J7" s="839"/>
      <c r="K7" s="16"/>
      <c r="L7" s="18" t="s">
        <v>27</v>
      </c>
      <c r="M7" s="16"/>
      <c r="N7" s="829"/>
      <c r="O7" s="16"/>
      <c r="P7" s="16"/>
      <c r="Q7" s="16"/>
      <c r="R7" s="16"/>
      <c r="S7" s="16"/>
      <c r="T7" s="16"/>
      <c r="U7" s="16"/>
      <c r="V7" s="56" t="s">
        <v>28</v>
      </c>
      <c r="W7" s="16">
        <v>1</v>
      </c>
      <c r="X7" s="16" t="s">
        <v>29</v>
      </c>
      <c r="Y7" s="16">
        <v>45.05</v>
      </c>
      <c r="Z7" s="679" t="s">
        <v>26</v>
      </c>
    </row>
    <row r="8" spans="1:26" s="18" customFormat="1" ht="27.6">
      <c r="A8" s="18" t="s">
        <v>20</v>
      </c>
      <c r="B8" s="583">
        <v>45302</v>
      </c>
      <c r="C8" s="18" t="s">
        <v>801</v>
      </c>
      <c r="D8" s="58">
        <v>6778</v>
      </c>
      <c r="E8" s="16"/>
      <c r="F8" s="66" t="s">
        <v>30</v>
      </c>
      <c r="G8" s="58"/>
      <c r="H8" s="56" t="s">
        <v>22</v>
      </c>
      <c r="I8" s="58">
        <v>4539148714</v>
      </c>
      <c r="J8" s="839"/>
      <c r="K8" s="16"/>
      <c r="L8" s="18" t="s">
        <v>31</v>
      </c>
      <c r="M8" s="16"/>
      <c r="N8" s="829"/>
      <c r="O8" s="16"/>
      <c r="P8" s="16"/>
      <c r="Q8" s="16"/>
      <c r="R8" s="16"/>
      <c r="S8" s="16"/>
      <c r="T8" s="16"/>
      <c r="U8" s="16"/>
      <c r="V8" s="56" t="s">
        <v>32</v>
      </c>
      <c r="W8" s="16">
        <v>1</v>
      </c>
      <c r="X8" s="16" t="s">
        <v>33</v>
      </c>
      <c r="Y8" s="16">
        <v>74.64</v>
      </c>
      <c r="Z8" s="679" t="s">
        <v>26</v>
      </c>
    </row>
    <row r="9" spans="1:26" s="18" customFormat="1" ht="27.6">
      <c r="A9" s="18" t="s">
        <v>20</v>
      </c>
      <c r="B9" s="583">
        <v>45302</v>
      </c>
      <c r="C9" s="18" t="s">
        <v>21</v>
      </c>
      <c r="D9" s="58">
        <v>6778</v>
      </c>
      <c r="E9" s="16"/>
      <c r="F9" s="66" t="s">
        <v>30</v>
      </c>
      <c r="G9" s="58"/>
      <c r="H9" s="56" t="s">
        <v>22</v>
      </c>
      <c r="I9" s="58">
        <v>4539148714</v>
      </c>
      <c r="J9" s="839"/>
      <c r="K9" s="16"/>
      <c r="L9" s="18" t="s">
        <v>34</v>
      </c>
      <c r="M9" s="16"/>
      <c r="N9" s="829"/>
      <c r="O9" s="16"/>
      <c r="P9" s="16"/>
      <c r="Q9" s="16"/>
      <c r="R9" s="16"/>
      <c r="S9" s="16"/>
      <c r="T9" s="16"/>
      <c r="U9" s="16"/>
      <c r="V9" s="56" t="s">
        <v>35</v>
      </c>
      <c r="W9" s="16">
        <v>1</v>
      </c>
      <c r="X9" s="16" t="s">
        <v>36</v>
      </c>
      <c r="Y9" s="16">
        <v>109.19</v>
      </c>
      <c r="Z9" s="679" t="s">
        <v>26</v>
      </c>
    </row>
    <row r="10" spans="1:26" s="18" customFormat="1" ht="55.2">
      <c r="A10" s="18" t="s">
        <v>37</v>
      </c>
      <c r="B10" s="583">
        <v>45302</v>
      </c>
      <c r="C10" s="18" t="s">
        <v>38</v>
      </c>
      <c r="D10" s="58"/>
      <c r="E10" s="16"/>
      <c r="F10" s="66" t="s">
        <v>44</v>
      </c>
      <c r="G10" s="58"/>
      <c r="H10" s="56" t="s">
        <v>39</v>
      </c>
      <c r="I10" s="58"/>
      <c r="J10" s="839" t="s">
        <v>40</v>
      </c>
      <c r="K10" s="16"/>
      <c r="L10" s="16" t="s">
        <v>41</v>
      </c>
      <c r="M10" s="16"/>
      <c r="N10" s="829"/>
      <c r="O10" s="16"/>
      <c r="P10" s="16"/>
      <c r="Q10" s="16"/>
      <c r="R10" s="16"/>
      <c r="S10" s="16"/>
      <c r="T10" s="16"/>
      <c r="U10" s="16"/>
      <c r="V10" s="371" t="s">
        <v>42</v>
      </c>
      <c r="W10" s="16">
        <v>1</v>
      </c>
      <c r="X10" s="16" t="s">
        <v>43</v>
      </c>
      <c r="Y10" s="16">
        <v>137.87</v>
      </c>
      <c r="Z10" s="679" t="s">
        <v>46</v>
      </c>
    </row>
    <row r="11" spans="1:26" s="18" customFormat="1" ht="41.4">
      <c r="A11" s="18" t="s">
        <v>12</v>
      </c>
      <c r="B11" s="583">
        <v>45307.674305555556</v>
      </c>
      <c r="C11" s="18" t="s">
        <v>47</v>
      </c>
      <c r="D11" s="58"/>
      <c r="E11" s="16"/>
      <c r="F11" s="66" t="s">
        <v>53</v>
      </c>
      <c r="G11" s="58"/>
      <c r="H11" s="56" t="s">
        <v>48</v>
      </c>
      <c r="I11" s="58"/>
      <c r="J11" s="839">
        <v>4540762292</v>
      </c>
      <c r="K11" s="16"/>
      <c r="L11" s="18" t="s">
        <v>49</v>
      </c>
      <c r="M11" s="16"/>
      <c r="N11" s="829"/>
      <c r="O11" s="16"/>
      <c r="P11" s="16"/>
      <c r="Q11" s="16"/>
      <c r="R11" s="16"/>
      <c r="S11" s="16"/>
      <c r="T11" s="16"/>
      <c r="U11" s="16"/>
      <c r="V11" s="56" t="s">
        <v>50</v>
      </c>
      <c r="W11" s="16">
        <v>1</v>
      </c>
      <c r="X11" s="16" t="s">
        <v>51</v>
      </c>
      <c r="Y11" s="16" t="s">
        <v>52</v>
      </c>
      <c r="Z11" s="679" t="s">
        <v>54</v>
      </c>
    </row>
    <row r="12" spans="1:26" s="18" customFormat="1" ht="55.2">
      <c r="A12" s="18" t="s">
        <v>12</v>
      </c>
      <c r="B12" s="583">
        <v>45300</v>
      </c>
      <c r="C12" s="18" t="s">
        <v>55</v>
      </c>
      <c r="D12" s="58"/>
      <c r="E12" s="16"/>
      <c r="F12" s="66" t="s">
        <v>60</v>
      </c>
      <c r="G12" s="58"/>
      <c r="H12" s="56" t="s">
        <v>56</v>
      </c>
      <c r="I12" s="58"/>
      <c r="J12" s="839">
        <v>4540464762</v>
      </c>
      <c r="K12" s="16"/>
      <c r="L12" s="18" t="s">
        <v>57</v>
      </c>
      <c r="M12" s="16" t="s">
        <v>58</v>
      </c>
      <c r="N12" s="829"/>
      <c r="O12" s="16"/>
      <c r="P12" s="16"/>
      <c r="Q12" s="16"/>
      <c r="R12" s="16"/>
      <c r="S12" s="16"/>
      <c r="T12" s="16"/>
      <c r="U12" s="16"/>
      <c r="V12" s="56" t="s">
        <v>59</v>
      </c>
      <c r="W12" s="16">
        <v>1</v>
      </c>
      <c r="X12" s="16" t="s">
        <v>25</v>
      </c>
      <c r="Y12" s="16" t="s">
        <v>349</v>
      </c>
      <c r="Z12" s="679" t="s">
        <v>26</v>
      </c>
    </row>
    <row r="13" spans="1:26" s="18" customFormat="1">
      <c r="A13" s="18" t="s">
        <v>61</v>
      </c>
      <c r="B13" s="583">
        <v>45337</v>
      </c>
      <c r="C13" s="18" t="s">
        <v>62</v>
      </c>
      <c r="D13" s="58"/>
      <c r="E13" s="16"/>
      <c r="F13" s="66"/>
      <c r="G13" s="58"/>
      <c r="H13" s="56" t="s">
        <v>63</v>
      </c>
      <c r="I13" s="58">
        <v>4504625609</v>
      </c>
      <c r="J13" s="839"/>
      <c r="K13" s="16"/>
      <c r="L13" s="18" t="s">
        <v>64</v>
      </c>
      <c r="M13" s="16"/>
      <c r="N13" s="829"/>
      <c r="O13" s="16"/>
      <c r="P13" s="16"/>
      <c r="Q13" s="16"/>
      <c r="R13" s="16"/>
      <c r="S13" s="16"/>
      <c r="T13" s="16"/>
      <c r="U13" s="16"/>
      <c r="V13" s="18" t="s">
        <v>65</v>
      </c>
      <c r="W13" s="16">
        <v>3</v>
      </c>
      <c r="X13" s="16"/>
      <c r="Y13" s="16"/>
      <c r="Z13" s="679" t="s">
        <v>66</v>
      </c>
    </row>
    <row r="14" spans="1:26" s="18" customFormat="1">
      <c r="A14" s="18" t="s">
        <v>61</v>
      </c>
      <c r="B14" s="583">
        <v>45337</v>
      </c>
      <c r="C14" s="18" t="s">
        <v>67</v>
      </c>
      <c r="D14" s="58"/>
      <c r="E14" s="16"/>
      <c r="F14" s="66"/>
      <c r="G14" s="58"/>
      <c r="H14" s="56" t="s">
        <v>63</v>
      </c>
      <c r="I14" s="58">
        <v>4504625609</v>
      </c>
      <c r="J14" s="839"/>
      <c r="K14" s="16"/>
      <c r="L14" s="18" t="s">
        <v>68</v>
      </c>
      <c r="M14" s="16"/>
      <c r="N14" s="829"/>
      <c r="O14" s="16"/>
      <c r="P14" s="16"/>
      <c r="Q14" s="16"/>
      <c r="R14" s="16"/>
      <c r="S14" s="16"/>
      <c r="T14" s="16"/>
      <c r="U14" s="16"/>
      <c r="V14" s="18" t="s">
        <v>69</v>
      </c>
      <c r="W14" s="16">
        <v>1</v>
      </c>
      <c r="X14" s="16"/>
      <c r="Y14" s="16"/>
      <c r="Z14" s="679" t="s">
        <v>66</v>
      </c>
    </row>
    <row r="15" spans="1:26" s="18" customFormat="1" ht="41.4">
      <c r="A15" s="18" t="s">
        <v>61</v>
      </c>
      <c r="B15" s="583">
        <v>45341</v>
      </c>
      <c r="C15" s="18" t="s">
        <v>70</v>
      </c>
      <c r="D15" s="58"/>
      <c r="E15" s="16"/>
      <c r="F15" s="66" t="s">
        <v>75</v>
      </c>
      <c r="G15" s="58"/>
      <c r="H15" s="56" t="s">
        <v>71</v>
      </c>
      <c r="I15" s="58">
        <v>4539836029</v>
      </c>
      <c r="J15" s="839">
        <v>4541726147</v>
      </c>
      <c r="K15" s="16"/>
      <c r="L15" s="18" t="s">
        <v>72</v>
      </c>
      <c r="M15" s="16" t="s">
        <v>73</v>
      </c>
      <c r="N15" s="829"/>
      <c r="O15" s="16"/>
      <c r="P15" s="16"/>
      <c r="Q15" s="16"/>
      <c r="R15" s="16"/>
      <c r="S15" s="16"/>
      <c r="T15" s="16"/>
      <c r="U15" s="16"/>
      <c r="V15" s="56" t="s">
        <v>74</v>
      </c>
      <c r="W15" s="16">
        <v>4</v>
      </c>
      <c r="X15" s="16"/>
      <c r="Y15" s="16"/>
      <c r="Z15" s="679" t="s">
        <v>66</v>
      </c>
    </row>
    <row r="16" spans="1:26" s="18" customFormat="1" ht="27.6">
      <c r="B16" s="583"/>
      <c r="D16" s="58"/>
      <c r="E16" s="16"/>
      <c r="F16" s="66"/>
      <c r="G16" s="58"/>
      <c r="H16" s="56"/>
      <c r="I16" s="58"/>
      <c r="J16" s="839"/>
      <c r="K16" s="16"/>
      <c r="L16" s="18" t="s">
        <v>76</v>
      </c>
      <c r="M16" s="16" t="s">
        <v>73</v>
      </c>
      <c r="N16" s="829"/>
      <c r="O16" s="16"/>
      <c r="P16" s="16"/>
      <c r="Q16" s="16"/>
      <c r="R16" s="16"/>
      <c r="S16" s="16"/>
      <c r="T16" s="16"/>
      <c r="U16" s="16"/>
      <c r="W16" s="16">
        <v>2</v>
      </c>
      <c r="X16" s="16"/>
      <c r="Y16" s="16"/>
      <c r="Z16" s="679"/>
    </row>
    <row r="17" spans="1:26" s="18" customFormat="1" ht="27.6">
      <c r="B17" s="583"/>
      <c r="D17" s="58"/>
      <c r="E17" s="16"/>
      <c r="F17" s="66"/>
      <c r="G17" s="58"/>
      <c r="H17" s="56"/>
      <c r="I17" s="58"/>
      <c r="J17" s="839"/>
      <c r="K17" s="16"/>
      <c r="L17" s="18" t="s">
        <v>77</v>
      </c>
      <c r="M17" s="16" t="s">
        <v>73</v>
      </c>
      <c r="N17" s="829"/>
      <c r="O17" s="16"/>
      <c r="P17" s="16"/>
      <c r="Q17" s="16"/>
      <c r="R17" s="16"/>
      <c r="S17" s="16"/>
      <c r="T17" s="16"/>
      <c r="U17" s="16"/>
      <c r="W17" s="16">
        <v>2</v>
      </c>
      <c r="X17" s="16"/>
      <c r="Y17" s="16"/>
      <c r="Z17" s="679"/>
    </row>
    <row r="18" spans="1:26" s="18" customFormat="1">
      <c r="A18" s="18" t="s">
        <v>61</v>
      </c>
      <c r="B18" s="583">
        <v>45366</v>
      </c>
      <c r="C18" s="18" t="s">
        <v>78</v>
      </c>
      <c r="D18" s="58"/>
      <c r="E18" s="16"/>
      <c r="F18" s="66"/>
      <c r="G18" s="58"/>
      <c r="H18" s="56" t="s">
        <v>79</v>
      </c>
      <c r="I18" s="58">
        <v>4539882955</v>
      </c>
      <c r="J18" s="839"/>
      <c r="K18" s="16"/>
      <c r="L18" s="56" t="s">
        <v>80</v>
      </c>
      <c r="M18" s="16"/>
      <c r="N18" s="829"/>
      <c r="O18" s="16"/>
      <c r="P18" s="16"/>
      <c r="Q18" s="16"/>
      <c r="R18" s="16"/>
      <c r="S18" s="16"/>
      <c r="T18" s="16"/>
      <c r="U18" s="16"/>
      <c r="W18" s="16"/>
      <c r="X18" s="16"/>
      <c r="Y18" s="16"/>
      <c r="Z18" s="679"/>
    </row>
    <row r="19" spans="1:26" s="18" customFormat="1" ht="27.6">
      <c r="A19" s="18" t="s">
        <v>81</v>
      </c>
      <c r="B19" s="583">
        <v>45387</v>
      </c>
      <c r="C19" s="18" t="s">
        <v>82</v>
      </c>
      <c r="D19" s="58"/>
      <c r="E19" s="16"/>
      <c r="F19" s="66"/>
      <c r="G19" s="58"/>
      <c r="H19" s="56" t="s">
        <v>83</v>
      </c>
      <c r="I19" s="58"/>
      <c r="J19" s="839">
        <v>4541742122</v>
      </c>
      <c r="K19" s="16"/>
      <c r="L19" s="18" t="s">
        <v>84</v>
      </c>
      <c r="M19" s="16" t="s">
        <v>73</v>
      </c>
      <c r="N19" s="829"/>
      <c r="O19" s="16"/>
      <c r="P19" s="16"/>
      <c r="Q19" s="16"/>
      <c r="R19" s="16"/>
      <c r="S19" s="16"/>
      <c r="T19" s="16"/>
      <c r="U19" s="16"/>
      <c r="V19" s="18" t="s">
        <v>84</v>
      </c>
      <c r="W19" s="16">
        <v>4</v>
      </c>
      <c r="X19" s="16">
        <v>60.41</v>
      </c>
      <c r="Y19" s="16">
        <f>X19*W19+48.3</f>
        <v>289.94</v>
      </c>
      <c r="Z19" s="679" t="s">
        <v>85</v>
      </c>
    </row>
    <row r="20" spans="1:26" s="11" customFormat="1" ht="27.6">
      <c r="A20" s="11" t="s">
        <v>81</v>
      </c>
      <c r="B20" s="583">
        <v>45387</v>
      </c>
      <c r="C20" s="18" t="s">
        <v>86</v>
      </c>
      <c r="D20" s="57"/>
      <c r="E20" s="7"/>
      <c r="F20" s="66"/>
      <c r="G20" s="57"/>
      <c r="H20" s="6" t="s">
        <v>87</v>
      </c>
      <c r="I20" s="57"/>
      <c r="J20" s="57">
        <v>4541741420</v>
      </c>
      <c r="K20" s="16"/>
      <c r="L20" s="18" t="s">
        <v>84</v>
      </c>
      <c r="M20" s="16" t="s">
        <v>73</v>
      </c>
      <c r="N20" s="7"/>
      <c r="O20" s="7"/>
      <c r="P20" s="7"/>
      <c r="Q20" s="7"/>
      <c r="R20" s="7"/>
      <c r="S20" s="7"/>
      <c r="T20" s="7"/>
      <c r="U20" s="7"/>
      <c r="V20" s="18" t="s">
        <v>84</v>
      </c>
      <c r="W20" s="16">
        <v>4</v>
      </c>
      <c r="X20" s="16">
        <v>60.41</v>
      </c>
      <c r="Y20" s="16">
        <f t="shared" ref="Y20:Y21" si="0">X20*W20+48.3</f>
        <v>289.94</v>
      </c>
      <c r="Z20" s="6" t="s">
        <v>85</v>
      </c>
    </row>
    <row r="21" spans="1:26" s="11" customFormat="1" ht="27.6">
      <c r="A21" s="11" t="s">
        <v>81</v>
      </c>
      <c r="B21" s="583">
        <v>45387</v>
      </c>
      <c r="C21" s="18" t="s">
        <v>88</v>
      </c>
      <c r="D21" s="57"/>
      <c r="E21" s="7"/>
      <c r="F21" s="66"/>
      <c r="G21" s="57"/>
      <c r="H21" s="6" t="s">
        <v>89</v>
      </c>
      <c r="I21" s="57"/>
      <c r="J21" s="57">
        <v>4541741421</v>
      </c>
      <c r="K21" s="16"/>
      <c r="L21" s="18" t="s">
        <v>84</v>
      </c>
      <c r="M21" s="16" t="s">
        <v>73</v>
      </c>
      <c r="N21" s="7"/>
      <c r="O21" s="7"/>
      <c r="P21" s="7"/>
      <c r="Q21" s="7"/>
      <c r="R21" s="7"/>
      <c r="S21" s="7"/>
      <c r="T21" s="7"/>
      <c r="U21" s="7"/>
      <c r="V21" s="18" t="s">
        <v>84</v>
      </c>
      <c r="W21" s="16">
        <v>4</v>
      </c>
      <c r="X21" s="16">
        <v>60.41</v>
      </c>
      <c r="Y21" s="16">
        <f t="shared" si="0"/>
        <v>289.94</v>
      </c>
      <c r="Z21" s="6" t="s">
        <v>85</v>
      </c>
    </row>
    <row r="22" spans="1:26" s="11" customFormat="1" ht="27.6">
      <c r="A22" s="11" t="s">
        <v>81</v>
      </c>
      <c r="B22" s="583">
        <v>45400</v>
      </c>
      <c r="C22" s="18" t="s">
        <v>90</v>
      </c>
      <c r="D22" s="57"/>
      <c r="E22" s="7"/>
      <c r="F22" s="66"/>
      <c r="G22" s="57"/>
      <c r="H22" s="6" t="s">
        <v>91</v>
      </c>
      <c r="I22" s="58">
        <v>4540758717</v>
      </c>
      <c r="J22" s="57"/>
      <c r="K22" s="16"/>
      <c r="L22" s="11" t="s">
        <v>92</v>
      </c>
      <c r="M22" s="7" t="s">
        <v>73</v>
      </c>
      <c r="N22" s="829"/>
      <c r="O22" s="16"/>
      <c r="P22" s="16"/>
      <c r="Q22" s="16"/>
      <c r="R22" s="16"/>
      <c r="S22" s="16"/>
      <c r="T22" s="16"/>
      <c r="U22" s="16"/>
      <c r="V22" s="18" t="s">
        <v>93</v>
      </c>
      <c r="W22" s="16">
        <v>24</v>
      </c>
      <c r="X22" s="16"/>
      <c r="Y22" s="16"/>
      <c r="Z22" s="6" t="s">
        <v>85</v>
      </c>
    </row>
    <row r="23" spans="1:26" s="11" customFormat="1" ht="27.6">
      <c r="B23" s="583"/>
      <c r="C23" s="18"/>
      <c r="D23" s="57"/>
      <c r="E23" s="7"/>
      <c r="F23" s="64"/>
      <c r="G23" s="57"/>
      <c r="H23" s="6"/>
      <c r="I23" s="57"/>
      <c r="J23" s="57"/>
      <c r="K23" s="16"/>
      <c r="L23" s="18" t="s">
        <v>94</v>
      </c>
      <c r="M23" s="7" t="s">
        <v>73</v>
      </c>
      <c r="N23" s="829"/>
      <c r="O23" s="16"/>
      <c r="P23" s="16"/>
      <c r="Q23" s="16"/>
      <c r="R23" s="16"/>
      <c r="S23" s="16"/>
      <c r="T23" s="16"/>
      <c r="U23" s="16"/>
      <c r="V23" s="18" t="s">
        <v>93</v>
      </c>
      <c r="W23" s="16">
        <v>2</v>
      </c>
      <c r="X23" s="16"/>
      <c r="Y23" s="16"/>
      <c r="Z23" s="6" t="s">
        <v>85</v>
      </c>
    </row>
    <row r="24" spans="1:26" s="11" customFormat="1">
      <c r="A24" s="11" t="s">
        <v>81</v>
      </c>
      <c r="B24" s="583">
        <v>45401</v>
      </c>
      <c r="C24" s="18" t="s">
        <v>95</v>
      </c>
      <c r="D24" s="57"/>
      <c r="E24" s="7"/>
      <c r="F24" s="64"/>
      <c r="G24" s="57"/>
      <c r="H24" s="6" t="s">
        <v>96</v>
      </c>
      <c r="I24" s="57">
        <v>4540561305</v>
      </c>
      <c r="J24" s="57"/>
      <c r="K24" s="16"/>
      <c r="L24" s="11" t="s">
        <v>97</v>
      </c>
      <c r="M24" s="16" t="s">
        <v>73</v>
      </c>
      <c r="N24" s="829"/>
      <c r="O24" s="16"/>
      <c r="P24" s="16"/>
      <c r="Q24" s="16"/>
      <c r="R24" s="16"/>
      <c r="S24" s="16"/>
      <c r="T24" s="16"/>
      <c r="U24" s="16"/>
      <c r="V24" s="11" t="s">
        <v>97</v>
      </c>
      <c r="W24" s="16">
        <v>1</v>
      </c>
      <c r="X24" s="16">
        <v>13.82</v>
      </c>
      <c r="Y24" s="16">
        <v>62.12</v>
      </c>
      <c r="Z24" s="6" t="s">
        <v>85</v>
      </c>
    </row>
    <row r="25" spans="1:26" s="11" customFormat="1" ht="27.6">
      <c r="A25" s="11" t="s">
        <v>98</v>
      </c>
      <c r="B25" s="583">
        <v>45440</v>
      </c>
      <c r="C25" s="18" t="s">
        <v>99</v>
      </c>
      <c r="D25" s="57"/>
      <c r="E25" s="7"/>
      <c r="F25" s="64"/>
      <c r="G25" s="57"/>
      <c r="H25" s="6" t="s">
        <v>100</v>
      </c>
      <c r="I25" s="57">
        <v>4538984206</v>
      </c>
      <c r="J25" s="57"/>
      <c r="K25" s="16"/>
      <c r="L25" s="11" t="s">
        <v>101</v>
      </c>
      <c r="M25" s="16" t="s">
        <v>73</v>
      </c>
      <c r="N25" s="829"/>
      <c r="O25" s="16"/>
      <c r="P25" s="16"/>
      <c r="Q25" s="16"/>
      <c r="R25" s="16"/>
      <c r="S25" s="16"/>
      <c r="T25" s="16"/>
      <c r="U25" s="16"/>
      <c r="V25" s="11" t="s">
        <v>102</v>
      </c>
      <c r="W25" s="16">
        <v>1</v>
      </c>
      <c r="X25" s="16" t="s">
        <v>103</v>
      </c>
      <c r="Y25" s="16">
        <v>196.82</v>
      </c>
      <c r="Z25" s="6"/>
    </row>
    <row r="26" spans="1:26" s="11" customFormat="1">
      <c r="A26" s="11" t="s">
        <v>98</v>
      </c>
      <c r="B26" s="583">
        <v>45442</v>
      </c>
      <c r="C26" s="18" t="s">
        <v>104</v>
      </c>
      <c r="D26" s="57"/>
      <c r="E26" s="7"/>
      <c r="F26" s="64"/>
      <c r="G26" s="57"/>
      <c r="H26" s="6" t="s">
        <v>105</v>
      </c>
      <c r="I26" s="57">
        <v>4538949456</v>
      </c>
      <c r="J26" s="57"/>
      <c r="K26" s="344"/>
      <c r="L26" s="11" t="s">
        <v>106</v>
      </c>
      <c r="M26" s="16" t="s">
        <v>73</v>
      </c>
      <c r="N26" s="829"/>
      <c r="O26" s="16"/>
      <c r="P26" s="16"/>
      <c r="Q26" s="16"/>
      <c r="R26" s="16"/>
      <c r="S26" s="16"/>
      <c r="T26" s="16"/>
      <c r="U26" s="16"/>
      <c r="V26" s="11" t="s">
        <v>107</v>
      </c>
      <c r="W26" s="16">
        <v>1</v>
      </c>
      <c r="X26" s="16"/>
      <c r="Y26" s="16"/>
      <c r="Z26" s="6"/>
    </row>
    <row r="27" spans="1:26" s="11" customFormat="1" ht="27.6">
      <c r="A27" s="11" t="s">
        <v>98</v>
      </c>
      <c r="B27" s="583">
        <v>45449</v>
      </c>
      <c r="C27" s="18" t="s">
        <v>108</v>
      </c>
      <c r="D27" s="57"/>
      <c r="E27" s="7"/>
      <c r="F27" s="64"/>
      <c r="G27" s="57"/>
      <c r="H27" s="6" t="s">
        <v>109</v>
      </c>
      <c r="I27" s="57">
        <v>4540248508</v>
      </c>
      <c r="J27" s="57" t="s">
        <v>110</v>
      </c>
      <c r="K27" s="344"/>
      <c r="L27" s="11" t="s">
        <v>111</v>
      </c>
      <c r="M27" s="16" t="s">
        <v>73</v>
      </c>
      <c r="N27" s="829"/>
      <c r="O27" s="16"/>
      <c r="P27" s="16"/>
      <c r="Q27" s="16"/>
      <c r="R27" s="16"/>
      <c r="S27" s="16"/>
      <c r="T27" s="16"/>
      <c r="U27" s="16"/>
      <c r="V27" s="18"/>
      <c r="W27" s="16">
        <v>1</v>
      </c>
      <c r="X27" s="16">
        <v>25.95</v>
      </c>
      <c r="Y27" s="16">
        <v>74.25</v>
      </c>
      <c r="Z27" s="6"/>
    </row>
    <row r="28" spans="1:26" s="11" customFormat="1" ht="27.6">
      <c r="A28" s="11" t="s">
        <v>98</v>
      </c>
      <c r="B28" s="583">
        <v>45449</v>
      </c>
      <c r="C28" s="18" t="s">
        <v>112</v>
      </c>
      <c r="D28" s="57"/>
      <c r="E28" s="7"/>
      <c r="F28" s="64"/>
      <c r="G28" s="57"/>
      <c r="H28" s="6" t="s">
        <v>113</v>
      </c>
      <c r="I28" s="57">
        <v>4541143278</v>
      </c>
      <c r="J28" s="57">
        <v>4542113513</v>
      </c>
      <c r="K28" s="344"/>
      <c r="L28" s="11" t="s">
        <v>114</v>
      </c>
      <c r="M28" s="16" t="s">
        <v>73</v>
      </c>
      <c r="N28" s="829"/>
      <c r="O28" s="16"/>
      <c r="P28" s="16"/>
      <c r="Q28" s="16"/>
      <c r="R28" s="16"/>
      <c r="S28" s="16"/>
      <c r="T28" s="16"/>
      <c r="U28" s="16"/>
      <c r="V28" s="18"/>
      <c r="W28" s="16"/>
      <c r="X28" s="16">
        <v>8.89</v>
      </c>
      <c r="Y28" s="16"/>
      <c r="Z28" s="6"/>
    </row>
    <row r="29" spans="1:26" s="11" customFormat="1" ht="27.6">
      <c r="B29" s="583"/>
      <c r="C29" s="18" t="s">
        <v>115</v>
      </c>
      <c r="D29" s="57"/>
      <c r="E29" s="7"/>
      <c r="F29" s="64"/>
      <c r="G29" s="57"/>
      <c r="H29" s="6"/>
      <c r="I29" s="57"/>
      <c r="J29" s="57" t="s">
        <v>116</v>
      </c>
      <c r="K29" s="344"/>
      <c r="L29" s="11" t="s">
        <v>117</v>
      </c>
      <c r="M29" s="7" t="s">
        <v>73</v>
      </c>
      <c r="N29" s="7"/>
      <c r="O29" s="7"/>
      <c r="P29" s="7"/>
      <c r="Q29" s="7"/>
      <c r="R29" s="7"/>
      <c r="S29" s="7"/>
      <c r="T29" s="7"/>
      <c r="U29" s="7"/>
      <c r="V29" s="18"/>
      <c r="W29" s="16"/>
      <c r="X29" s="16">
        <v>14.83</v>
      </c>
      <c r="Y29" s="16">
        <v>72.02</v>
      </c>
      <c r="Z29" s="6"/>
    </row>
    <row r="30" spans="1:26" s="11" customFormat="1" ht="27.6">
      <c r="A30" s="11" t="s">
        <v>20</v>
      </c>
      <c r="B30" s="583">
        <v>45469</v>
      </c>
      <c r="C30" s="18" t="s">
        <v>118</v>
      </c>
      <c r="D30" s="57"/>
      <c r="E30" s="7"/>
      <c r="F30" s="64"/>
      <c r="G30" s="57"/>
      <c r="H30" s="6" t="s">
        <v>119</v>
      </c>
      <c r="I30" s="57"/>
      <c r="J30" s="57"/>
      <c r="K30" s="344"/>
      <c r="L30" s="11" t="s">
        <v>120</v>
      </c>
      <c r="M30" s="16" t="s">
        <v>73</v>
      </c>
      <c r="N30" s="7"/>
      <c r="O30" s="7"/>
      <c r="P30" s="7"/>
      <c r="Q30" s="7"/>
      <c r="R30" s="7"/>
      <c r="S30" s="7"/>
      <c r="T30" s="7"/>
      <c r="U30" s="7"/>
      <c r="V30" s="18"/>
      <c r="W30" s="16"/>
      <c r="X30" s="16"/>
      <c r="Y30" s="16"/>
      <c r="Z30" s="6" t="s">
        <v>122</v>
      </c>
    </row>
    <row r="31" spans="1:26" s="11" customFormat="1" ht="27.6">
      <c r="A31" s="11" t="s">
        <v>20</v>
      </c>
      <c r="B31" s="583">
        <v>45469</v>
      </c>
      <c r="C31" s="18" t="s">
        <v>123</v>
      </c>
      <c r="D31" s="57"/>
      <c r="E31" s="7"/>
      <c r="F31" s="64" t="s">
        <v>121</v>
      </c>
      <c r="G31" s="57"/>
      <c r="H31" s="6" t="s">
        <v>124</v>
      </c>
      <c r="I31" s="57"/>
      <c r="J31" s="57"/>
      <c r="K31" s="344"/>
      <c r="L31" s="11" t="s">
        <v>125</v>
      </c>
      <c r="M31" s="16" t="s">
        <v>73</v>
      </c>
      <c r="N31" s="7"/>
      <c r="O31" s="7"/>
      <c r="P31" s="7"/>
      <c r="Q31" s="7"/>
      <c r="R31" s="7"/>
      <c r="S31" s="7"/>
      <c r="T31" s="7"/>
      <c r="U31" s="7"/>
      <c r="V31" s="18"/>
      <c r="W31" s="16"/>
      <c r="X31" s="16"/>
      <c r="Y31" s="16"/>
      <c r="Z31" s="6" t="s">
        <v>122</v>
      </c>
    </row>
    <row r="32" spans="1:26" s="11" customFormat="1" ht="27.6">
      <c r="B32" s="583">
        <v>45470</v>
      </c>
      <c r="C32" s="18" t="s">
        <v>126</v>
      </c>
      <c r="D32" s="57"/>
      <c r="E32" s="7"/>
      <c r="F32" s="64"/>
      <c r="G32" s="57"/>
      <c r="H32" s="6"/>
      <c r="I32" s="57"/>
      <c r="J32" s="57"/>
      <c r="K32" s="344"/>
      <c r="L32" s="6">
        <v>59001034</v>
      </c>
      <c r="M32" s="16" t="s">
        <v>73</v>
      </c>
      <c r="N32" s="7"/>
      <c r="O32" s="7"/>
      <c r="P32" s="7"/>
      <c r="Q32" s="7"/>
      <c r="R32" s="7"/>
      <c r="S32" s="7"/>
      <c r="T32" s="7"/>
      <c r="U32" s="7"/>
      <c r="V32" s="18"/>
      <c r="W32" s="16"/>
      <c r="X32" s="16"/>
      <c r="Y32" s="16"/>
      <c r="Z32" s="6"/>
    </row>
    <row r="33" spans="1:26" s="11" customFormat="1" ht="27.6">
      <c r="A33" s="11" t="s">
        <v>20</v>
      </c>
      <c r="B33" s="583">
        <v>45471</v>
      </c>
      <c r="C33" s="18" t="s">
        <v>127</v>
      </c>
      <c r="D33" s="57"/>
      <c r="E33" s="7"/>
      <c r="F33" s="64"/>
      <c r="G33" s="57"/>
      <c r="H33" s="6" t="s">
        <v>128</v>
      </c>
      <c r="I33" s="57"/>
      <c r="J33" s="57"/>
      <c r="K33" s="344"/>
      <c r="L33" s="11" t="s">
        <v>129</v>
      </c>
      <c r="M33" s="16" t="s">
        <v>73</v>
      </c>
      <c r="N33" s="829"/>
      <c r="O33" s="16"/>
      <c r="P33" s="16"/>
      <c r="Q33" s="16"/>
      <c r="R33" s="16"/>
      <c r="S33" s="16"/>
      <c r="T33" s="16"/>
      <c r="U33" s="16"/>
      <c r="V33" s="18"/>
      <c r="W33" s="16"/>
      <c r="X33" s="16"/>
      <c r="Y33" s="16"/>
      <c r="Z33" s="6" t="s">
        <v>122</v>
      </c>
    </row>
    <row r="34" spans="1:26" s="11" customFormat="1" ht="27.6">
      <c r="A34" s="11" t="s">
        <v>20</v>
      </c>
      <c r="B34" s="583">
        <v>45471</v>
      </c>
      <c r="C34" s="18" t="s">
        <v>130</v>
      </c>
      <c r="D34" s="57"/>
      <c r="E34" s="7"/>
      <c r="F34" s="64"/>
      <c r="G34" s="57"/>
      <c r="H34" s="6" t="s">
        <v>131</v>
      </c>
      <c r="I34" s="57"/>
      <c r="J34" s="57"/>
      <c r="K34" s="344"/>
      <c r="L34" s="6" t="s">
        <v>132</v>
      </c>
      <c r="M34" s="16" t="s">
        <v>73</v>
      </c>
      <c r="N34" s="829"/>
      <c r="O34" s="16"/>
      <c r="P34" s="16"/>
      <c r="Q34" s="16"/>
      <c r="R34" s="16"/>
      <c r="S34" s="16"/>
      <c r="T34" s="16"/>
      <c r="U34" s="16"/>
      <c r="V34" s="18"/>
      <c r="W34" s="16"/>
      <c r="X34" s="16"/>
      <c r="Y34" s="16"/>
      <c r="Z34" s="6" t="s">
        <v>122</v>
      </c>
    </row>
    <row r="35" spans="1:26" s="11" customFormat="1" ht="31.5" customHeight="1">
      <c r="A35" s="11" t="s">
        <v>20</v>
      </c>
      <c r="B35" s="583">
        <v>45474</v>
      </c>
      <c r="C35" s="18" t="s">
        <v>133</v>
      </c>
      <c r="D35" s="57"/>
      <c r="E35" s="7"/>
      <c r="F35" s="64"/>
      <c r="G35" s="57"/>
      <c r="H35" s="6" t="s">
        <v>134</v>
      </c>
      <c r="I35" s="57"/>
      <c r="J35" s="57"/>
      <c r="K35" s="344"/>
      <c r="L35" s="6" t="s">
        <v>135</v>
      </c>
      <c r="M35" s="16" t="s">
        <v>73</v>
      </c>
      <c r="N35" s="829"/>
      <c r="O35" s="16"/>
      <c r="P35" s="16"/>
      <c r="Q35" s="16"/>
      <c r="R35" s="16"/>
      <c r="S35" s="16"/>
      <c r="T35" s="16"/>
      <c r="U35" s="16"/>
      <c r="V35" s="18"/>
      <c r="W35" s="16"/>
      <c r="X35" s="16"/>
      <c r="Y35" s="16"/>
      <c r="Z35" s="6" t="s">
        <v>122</v>
      </c>
    </row>
    <row r="36" spans="1:26" s="11" customFormat="1" ht="22.5" customHeight="1">
      <c r="A36" s="11" t="s">
        <v>20</v>
      </c>
      <c r="B36" s="583">
        <v>45474</v>
      </c>
      <c r="C36" s="18" t="s">
        <v>136</v>
      </c>
      <c r="D36" s="57"/>
      <c r="E36" s="7"/>
      <c r="F36" s="64"/>
      <c r="G36" s="57"/>
      <c r="H36" s="6" t="s">
        <v>137</v>
      </c>
      <c r="I36" s="57"/>
      <c r="J36" s="57"/>
      <c r="K36" s="344"/>
      <c r="L36" s="11" t="s">
        <v>138</v>
      </c>
      <c r="M36" s="16" t="s">
        <v>73</v>
      </c>
      <c r="N36" s="829"/>
      <c r="O36" s="16"/>
      <c r="P36" s="16"/>
      <c r="Q36" s="16"/>
      <c r="R36" s="16"/>
      <c r="S36" s="16"/>
      <c r="T36" s="16"/>
      <c r="U36" s="16"/>
      <c r="V36" s="18"/>
      <c r="W36" s="16"/>
      <c r="X36" s="16"/>
      <c r="Y36" s="16"/>
      <c r="Z36" s="6" t="s">
        <v>122</v>
      </c>
    </row>
    <row r="37" spans="1:26" s="11" customFormat="1" ht="41.4">
      <c r="A37" s="11" t="s">
        <v>20</v>
      </c>
      <c r="B37" s="583">
        <v>45474</v>
      </c>
      <c r="C37" s="18" t="s">
        <v>139</v>
      </c>
      <c r="D37" s="57"/>
      <c r="E37" s="7"/>
      <c r="F37" s="64"/>
      <c r="G37" s="57"/>
      <c r="H37" s="6" t="s">
        <v>140</v>
      </c>
      <c r="I37" s="57"/>
      <c r="J37" s="57"/>
      <c r="K37" s="344"/>
      <c r="L37" s="11" t="s">
        <v>138</v>
      </c>
      <c r="M37" s="16" t="s">
        <v>73</v>
      </c>
      <c r="N37" s="829"/>
      <c r="O37" s="16"/>
      <c r="P37" s="16"/>
      <c r="Q37" s="16"/>
      <c r="R37" s="16"/>
      <c r="S37" s="16"/>
      <c r="T37" s="16"/>
      <c r="U37" s="16"/>
      <c r="V37" s="18"/>
      <c r="W37" s="16"/>
      <c r="X37" s="16"/>
      <c r="Y37" s="16"/>
      <c r="Z37" s="6" t="s">
        <v>122</v>
      </c>
    </row>
    <row r="38" spans="1:26" s="11" customFormat="1">
      <c r="A38" s="11" t="s">
        <v>98</v>
      </c>
      <c r="B38" s="583">
        <v>45475</v>
      </c>
      <c r="C38" s="513" t="s">
        <v>141</v>
      </c>
      <c r="D38" s="57" t="s">
        <v>142</v>
      </c>
      <c r="E38" s="7"/>
      <c r="F38" s="64"/>
      <c r="G38" s="57"/>
      <c r="H38" s="6"/>
      <c r="I38" s="57">
        <v>4540828182</v>
      </c>
      <c r="J38" s="57">
        <v>4542485808</v>
      </c>
      <c r="K38" s="67"/>
      <c r="L38" s="6" t="s">
        <v>143</v>
      </c>
      <c r="M38" s="16" t="s">
        <v>73</v>
      </c>
      <c r="N38" s="7"/>
      <c r="O38" s="7"/>
      <c r="P38" s="7"/>
      <c r="Q38" s="7"/>
      <c r="R38" s="7"/>
      <c r="S38" s="7"/>
      <c r="T38" s="7"/>
      <c r="U38" s="7"/>
      <c r="V38" s="11" t="s">
        <v>144</v>
      </c>
      <c r="W38" s="7"/>
      <c r="X38" s="7"/>
      <c r="Y38" s="16" t="s">
        <v>145</v>
      </c>
      <c r="Z38" s="6"/>
    </row>
    <row r="39" spans="1:26" s="18" customFormat="1" ht="41.4">
      <c r="A39" s="18" t="s">
        <v>20</v>
      </c>
      <c r="B39" s="583">
        <v>45476</v>
      </c>
      <c r="C39" s="18" t="s">
        <v>146</v>
      </c>
      <c r="D39" s="58"/>
      <c r="E39" s="16"/>
      <c r="F39" s="66"/>
      <c r="G39" s="58"/>
      <c r="H39" s="56" t="s">
        <v>147</v>
      </c>
      <c r="I39" s="58"/>
      <c r="J39" s="839"/>
      <c r="K39" s="344"/>
      <c r="L39" s="56" t="s">
        <v>148</v>
      </c>
      <c r="M39" s="16" t="s">
        <v>73</v>
      </c>
      <c r="N39" s="829"/>
      <c r="O39" s="16"/>
      <c r="P39" s="16"/>
      <c r="Q39" s="16"/>
      <c r="R39" s="16"/>
      <c r="S39" s="16"/>
      <c r="T39" s="16"/>
      <c r="U39" s="16"/>
      <c r="W39" s="16"/>
      <c r="X39" s="16"/>
      <c r="Y39" s="16" t="s">
        <v>149</v>
      </c>
      <c r="Z39" s="679"/>
    </row>
    <row r="40" spans="1:26" s="18" customFormat="1" ht="55.2">
      <c r="A40" s="18" t="s">
        <v>150</v>
      </c>
      <c r="B40" s="583">
        <v>45491</v>
      </c>
      <c r="C40" s="18" t="s">
        <v>350</v>
      </c>
      <c r="D40" s="58">
        <v>8724</v>
      </c>
      <c r="E40" s="16"/>
      <c r="F40" s="66" t="s">
        <v>154</v>
      </c>
      <c r="G40" s="58"/>
      <c r="H40" s="56" t="s">
        <v>151</v>
      </c>
      <c r="I40" s="58">
        <v>4539981267</v>
      </c>
      <c r="J40" s="839">
        <v>4542956793</v>
      </c>
      <c r="K40" s="344" t="s">
        <v>152</v>
      </c>
      <c r="L40" s="18" t="s">
        <v>153</v>
      </c>
      <c r="M40" s="16" t="s">
        <v>73</v>
      </c>
      <c r="N40" s="829"/>
      <c r="O40" s="16"/>
      <c r="P40" s="16"/>
      <c r="Q40" s="16"/>
      <c r="R40" s="16"/>
      <c r="S40" s="16"/>
      <c r="T40" s="16"/>
      <c r="U40" s="16"/>
      <c r="W40" s="16"/>
      <c r="X40" s="16"/>
      <c r="Y40" s="16">
        <v>140.19</v>
      </c>
      <c r="Z40" s="679" t="s">
        <v>155</v>
      </c>
    </row>
    <row r="41" spans="1:26" s="18" customFormat="1" ht="55.2">
      <c r="A41" s="18" t="s">
        <v>150</v>
      </c>
      <c r="B41" s="583">
        <v>45491</v>
      </c>
      <c r="C41" s="18" t="s">
        <v>351</v>
      </c>
      <c r="D41" s="58">
        <v>8710</v>
      </c>
      <c r="E41" s="16"/>
      <c r="F41" s="66" t="s">
        <v>154</v>
      </c>
      <c r="G41" s="58"/>
      <c r="H41" s="56" t="s">
        <v>156</v>
      </c>
      <c r="I41" s="58">
        <v>4539981291</v>
      </c>
      <c r="J41" s="839">
        <v>4542956819</v>
      </c>
      <c r="K41" s="344" t="s">
        <v>157</v>
      </c>
      <c r="L41" s="18" t="s">
        <v>153</v>
      </c>
      <c r="M41" s="16" t="s">
        <v>73</v>
      </c>
      <c r="N41" s="829"/>
      <c r="O41" s="16"/>
      <c r="P41" s="16"/>
      <c r="Q41" s="16"/>
      <c r="R41" s="16"/>
      <c r="S41" s="16"/>
      <c r="T41" s="16"/>
      <c r="U41" s="16"/>
      <c r="W41" s="16"/>
      <c r="X41" s="16"/>
      <c r="Y41" s="16">
        <v>140.19</v>
      </c>
      <c r="Z41" s="679" t="s">
        <v>155</v>
      </c>
    </row>
    <row r="42" spans="1:26" s="18" customFormat="1" ht="27.6">
      <c r="A42" s="18" t="s">
        <v>150</v>
      </c>
      <c r="B42" s="583">
        <v>45495</v>
      </c>
      <c r="C42" s="18" t="s">
        <v>158</v>
      </c>
      <c r="D42" s="58"/>
      <c r="E42" s="16"/>
      <c r="F42" s="66" t="s">
        <v>163</v>
      </c>
      <c r="G42" s="58"/>
      <c r="H42" s="56" t="s">
        <v>159</v>
      </c>
      <c r="I42" s="58">
        <v>4542577945</v>
      </c>
      <c r="J42" s="839">
        <v>4542841586</v>
      </c>
      <c r="K42" s="344" t="s">
        <v>160</v>
      </c>
      <c r="L42" s="18" t="s">
        <v>161</v>
      </c>
      <c r="M42" s="16" t="s">
        <v>73</v>
      </c>
      <c r="N42" s="829"/>
      <c r="O42" s="16"/>
      <c r="P42" s="16"/>
      <c r="Q42" s="16"/>
      <c r="R42" s="16"/>
      <c r="S42" s="16"/>
      <c r="T42" s="16"/>
      <c r="U42" s="16"/>
      <c r="V42" s="56">
        <v>56225755</v>
      </c>
      <c r="W42" s="16">
        <v>24</v>
      </c>
      <c r="X42" s="16">
        <v>48.3</v>
      </c>
      <c r="Y42" s="16" t="s">
        <v>162</v>
      </c>
      <c r="Z42" s="679"/>
    </row>
    <row r="43" spans="1:26" s="18" customFormat="1" ht="27.6">
      <c r="A43" s="18" t="s">
        <v>164</v>
      </c>
      <c r="B43" s="583">
        <v>45498</v>
      </c>
      <c r="C43" s="18" t="s">
        <v>165</v>
      </c>
      <c r="D43" s="58"/>
      <c r="E43" s="16"/>
      <c r="F43" s="66" t="s">
        <v>170</v>
      </c>
      <c r="G43" s="58"/>
      <c r="H43" s="56" t="s">
        <v>166</v>
      </c>
      <c r="I43" s="58">
        <v>4538823798</v>
      </c>
      <c r="J43" s="839">
        <v>4543165865</v>
      </c>
      <c r="K43" s="344" t="s">
        <v>167</v>
      </c>
      <c r="L43" s="56" t="s">
        <v>168</v>
      </c>
      <c r="M43" s="16" t="s">
        <v>73</v>
      </c>
      <c r="N43" s="829"/>
      <c r="O43" s="16"/>
      <c r="P43" s="16"/>
      <c r="Q43" s="16"/>
      <c r="R43" s="16"/>
      <c r="S43" s="16"/>
      <c r="T43" s="16"/>
      <c r="U43" s="16"/>
      <c r="W43" s="16">
        <v>2</v>
      </c>
      <c r="X43" s="16"/>
      <c r="Y43" s="16" t="s">
        <v>169</v>
      </c>
      <c r="Z43" s="679"/>
    </row>
    <row r="44" spans="1:26" s="18" customFormat="1">
      <c r="A44" s="18" t="s">
        <v>98</v>
      </c>
      <c r="B44" s="583">
        <v>45510</v>
      </c>
      <c r="C44" s="18" t="s">
        <v>171</v>
      </c>
      <c r="D44" s="58"/>
      <c r="E44" s="16"/>
      <c r="F44" s="66"/>
      <c r="G44" s="58"/>
      <c r="H44" s="56"/>
      <c r="I44" s="58">
        <v>4541786193</v>
      </c>
      <c r="J44" s="839"/>
      <c r="K44" s="344"/>
      <c r="L44" s="18" t="s">
        <v>172</v>
      </c>
      <c r="M44" s="16" t="s">
        <v>73</v>
      </c>
      <c r="N44" s="829"/>
      <c r="O44" s="16"/>
      <c r="P44" s="16"/>
      <c r="Q44" s="16"/>
      <c r="R44" s="16"/>
      <c r="S44" s="16"/>
      <c r="T44" s="16"/>
      <c r="U44" s="16"/>
      <c r="V44" s="18" t="s">
        <v>173</v>
      </c>
      <c r="W44" s="16">
        <v>1</v>
      </c>
      <c r="X44" s="16"/>
      <c r="Y44" s="16" t="s">
        <v>174</v>
      </c>
      <c r="Z44" s="679"/>
    </row>
    <row r="45" spans="1:26" s="18" customFormat="1" ht="27.6">
      <c r="A45" s="18" t="s">
        <v>98</v>
      </c>
      <c r="B45" s="583">
        <v>45512</v>
      </c>
      <c r="C45" s="18" t="s">
        <v>175</v>
      </c>
      <c r="D45" s="58"/>
      <c r="E45" s="16"/>
      <c r="F45" s="66" t="s">
        <v>179</v>
      </c>
      <c r="G45" s="58"/>
      <c r="H45" s="56" t="s">
        <v>176</v>
      </c>
      <c r="I45" s="58">
        <v>4542193988</v>
      </c>
      <c r="J45" s="839"/>
      <c r="K45" s="344"/>
      <c r="L45" s="18" t="s">
        <v>177</v>
      </c>
      <c r="M45" s="16" t="s">
        <v>73</v>
      </c>
      <c r="N45" s="829"/>
      <c r="O45" s="16"/>
      <c r="P45" s="16"/>
      <c r="Q45" s="16"/>
      <c r="R45" s="16"/>
      <c r="S45" s="16"/>
      <c r="T45" s="16"/>
      <c r="U45" s="16"/>
      <c r="W45" s="16">
        <v>10</v>
      </c>
      <c r="X45" s="16">
        <v>9.3699999999999992</v>
      </c>
      <c r="Y45" s="16" t="s">
        <v>178</v>
      </c>
      <c r="Z45" s="679"/>
    </row>
    <row r="46" spans="1:26" s="18" customFormat="1" ht="41.4">
      <c r="A46" s="18" t="s">
        <v>98</v>
      </c>
      <c r="B46" s="583">
        <v>45512</v>
      </c>
      <c r="C46" s="18" t="s">
        <v>180</v>
      </c>
      <c r="D46" s="58" t="s">
        <v>671</v>
      </c>
      <c r="E46" s="16"/>
      <c r="F46" s="66"/>
      <c r="G46" s="58"/>
      <c r="H46" s="56" t="s">
        <v>181</v>
      </c>
      <c r="I46" s="58">
        <v>4542193880</v>
      </c>
      <c r="J46" s="839" t="s">
        <v>182</v>
      </c>
      <c r="K46" s="344"/>
      <c r="L46" s="18" t="s">
        <v>183</v>
      </c>
      <c r="M46" s="16" t="s">
        <v>73</v>
      </c>
      <c r="N46" s="829"/>
      <c r="O46" s="16"/>
      <c r="P46" s="16"/>
      <c r="Q46" s="16"/>
      <c r="R46" s="16"/>
      <c r="S46" s="16"/>
      <c r="T46" s="16"/>
      <c r="U46" s="16"/>
      <c r="W46" s="16"/>
      <c r="X46" s="16"/>
      <c r="Y46" s="16"/>
      <c r="Z46" s="679"/>
    </row>
    <row r="47" spans="1:26" s="18" customFormat="1">
      <c r="A47" s="18" t="s">
        <v>184</v>
      </c>
      <c r="B47" s="583">
        <v>45525</v>
      </c>
      <c r="C47" s="18" t="s">
        <v>803</v>
      </c>
      <c r="D47" s="58"/>
      <c r="E47" s="16"/>
      <c r="F47" s="66"/>
      <c r="G47" s="58" t="s">
        <v>802</v>
      </c>
      <c r="H47" s="56" t="s">
        <v>185</v>
      </c>
      <c r="I47" s="58">
        <v>4539693310</v>
      </c>
      <c r="J47" s="839">
        <v>4542982789</v>
      </c>
      <c r="K47" s="344"/>
      <c r="L47" s="18" t="s">
        <v>186</v>
      </c>
      <c r="M47" s="16" t="s">
        <v>73</v>
      </c>
      <c r="N47" s="829"/>
      <c r="O47" s="16"/>
      <c r="P47" s="16"/>
      <c r="Q47" s="16"/>
      <c r="R47" s="16"/>
      <c r="S47" s="16"/>
      <c r="T47" s="16"/>
      <c r="U47" s="16"/>
      <c r="W47" s="16"/>
      <c r="X47" s="16"/>
      <c r="Y47" s="16" t="s">
        <v>187</v>
      </c>
      <c r="Z47" s="679" t="s">
        <v>122</v>
      </c>
    </row>
    <row r="48" spans="1:26" s="18" customFormat="1" ht="27.6">
      <c r="A48" s="18" t="s">
        <v>188</v>
      </c>
      <c r="B48" s="583">
        <v>45531</v>
      </c>
      <c r="C48" s="18" t="s">
        <v>189</v>
      </c>
      <c r="D48" s="58"/>
      <c r="E48" s="16"/>
      <c r="F48" s="66" t="s">
        <v>194</v>
      </c>
      <c r="G48" s="58"/>
      <c r="H48" s="56" t="s">
        <v>190</v>
      </c>
      <c r="I48" s="58">
        <v>4540698213</v>
      </c>
      <c r="J48" s="839"/>
      <c r="K48" s="344"/>
      <c r="L48" s="56" t="s">
        <v>191</v>
      </c>
      <c r="M48" s="16" t="s">
        <v>73</v>
      </c>
      <c r="N48" s="105"/>
      <c r="O48" s="105"/>
      <c r="P48" s="105"/>
      <c r="Q48" s="105"/>
      <c r="R48" s="105"/>
      <c r="S48" s="105"/>
      <c r="T48" s="105"/>
      <c r="U48" s="105"/>
      <c r="V48" s="18" t="s">
        <v>192</v>
      </c>
      <c r="W48" s="16">
        <v>34.450000000000003</v>
      </c>
      <c r="X48" s="16">
        <v>34.450000000000003</v>
      </c>
      <c r="Y48" s="16" t="s">
        <v>193</v>
      </c>
      <c r="Z48" s="679"/>
    </row>
    <row r="49" spans="1:26" s="18" customFormat="1" ht="27.6">
      <c r="A49" s="18" t="s">
        <v>184</v>
      </c>
      <c r="B49" s="583">
        <v>45532</v>
      </c>
      <c r="C49" s="513" t="s">
        <v>195</v>
      </c>
      <c r="D49" s="58"/>
      <c r="E49" s="16"/>
      <c r="F49" s="66"/>
      <c r="G49" s="58"/>
      <c r="H49" s="56" t="s">
        <v>196</v>
      </c>
      <c r="I49" s="58">
        <v>4541001368</v>
      </c>
      <c r="J49" s="839">
        <v>4543064014</v>
      </c>
      <c r="K49" s="344"/>
      <c r="L49" s="56" t="s">
        <v>197</v>
      </c>
      <c r="M49" s="16" t="s">
        <v>73</v>
      </c>
      <c r="N49" s="105"/>
      <c r="O49" s="105"/>
      <c r="P49" s="105"/>
      <c r="Q49" s="105"/>
      <c r="R49" s="105"/>
      <c r="S49" s="105"/>
      <c r="T49" s="105"/>
      <c r="U49" s="105"/>
      <c r="W49" s="16" t="s">
        <v>198</v>
      </c>
      <c r="X49" s="16">
        <v>1.79</v>
      </c>
      <c r="Y49" s="68" t="s">
        <v>193</v>
      </c>
      <c r="Z49" s="679"/>
    </row>
    <row r="50" spans="1:26" s="18" customFormat="1" ht="27.6">
      <c r="A50" s="18" t="s">
        <v>199</v>
      </c>
      <c r="B50" s="583">
        <v>45537</v>
      </c>
      <c r="C50" s="513" t="s">
        <v>200</v>
      </c>
      <c r="D50" s="58"/>
      <c r="E50" s="16"/>
      <c r="F50" s="66" t="s">
        <v>203</v>
      </c>
      <c r="G50" s="58"/>
      <c r="H50" s="56"/>
      <c r="I50" s="58"/>
      <c r="J50" s="839"/>
      <c r="K50" s="344" t="s">
        <v>201</v>
      </c>
      <c r="L50" s="18" t="s">
        <v>202</v>
      </c>
      <c r="M50" s="16" t="s">
        <v>73</v>
      </c>
      <c r="N50" s="105"/>
      <c r="O50" s="105"/>
      <c r="P50" s="105"/>
      <c r="Q50" s="105"/>
      <c r="R50" s="105"/>
      <c r="S50" s="105"/>
      <c r="T50" s="105"/>
      <c r="U50" s="105"/>
      <c r="W50" s="16">
        <v>6</v>
      </c>
      <c r="X50" s="16"/>
      <c r="Y50" s="16">
        <v>446.53</v>
      </c>
      <c r="Z50" s="679"/>
    </row>
    <row r="51" spans="1:26" s="18" customFormat="1" ht="27.6">
      <c r="A51" s="18" t="s">
        <v>714</v>
      </c>
      <c r="B51" s="583">
        <v>45538</v>
      </c>
      <c r="C51" s="513" t="s">
        <v>204</v>
      </c>
      <c r="D51" s="58" t="s">
        <v>142</v>
      </c>
      <c r="E51" s="16"/>
      <c r="F51" s="66" t="s">
        <v>179</v>
      </c>
      <c r="G51" s="58"/>
      <c r="H51" s="56" t="s">
        <v>205</v>
      </c>
      <c r="I51" s="58">
        <v>4541049795</v>
      </c>
      <c r="J51" s="839">
        <v>4542984908</v>
      </c>
      <c r="K51" s="344">
        <v>4543123758</v>
      </c>
      <c r="L51" s="56" t="s">
        <v>353</v>
      </c>
      <c r="M51" s="16" t="s">
        <v>73</v>
      </c>
      <c r="N51" s="105"/>
      <c r="O51" s="105"/>
      <c r="P51" s="105"/>
      <c r="Q51" s="105"/>
      <c r="R51" s="105"/>
      <c r="S51" s="105"/>
      <c r="T51" s="105"/>
      <c r="U51" s="105"/>
      <c r="W51" s="16" t="s">
        <v>206</v>
      </c>
      <c r="X51" s="16"/>
      <c r="Y51" s="68" t="s">
        <v>207</v>
      </c>
      <c r="Z51" s="679" t="s">
        <v>122</v>
      </c>
    </row>
    <row r="52" spans="1:26" s="11" customFormat="1" ht="12.75" customHeight="1">
      <c r="A52" s="11" t="s">
        <v>184</v>
      </c>
      <c r="B52" s="583">
        <v>45538</v>
      </c>
      <c r="C52" s="513" t="s">
        <v>208</v>
      </c>
      <c r="D52" s="57" t="s">
        <v>142</v>
      </c>
      <c r="E52" s="7"/>
      <c r="F52" s="64" t="s">
        <v>215</v>
      </c>
      <c r="G52" s="57"/>
      <c r="H52" s="6" t="s">
        <v>209</v>
      </c>
      <c r="I52" s="57">
        <v>4540624989</v>
      </c>
      <c r="J52" s="57">
        <v>4542966566</v>
      </c>
      <c r="K52" s="344">
        <v>4543141503</v>
      </c>
      <c r="L52" s="6" t="s">
        <v>210</v>
      </c>
      <c r="M52" s="16" t="s">
        <v>73</v>
      </c>
      <c r="N52" s="104"/>
      <c r="O52" s="104"/>
      <c r="P52" s="104"/>
      <c r="Q52" s="104"/>
      <c r="R52" s="104"/>
      <c r="S52" s="104"/>
      <c r="T52" s="104"/>
      <c r="U52" s="104"/>
      <c r="V52" s="18" t="s">
        <v>211</v>
      </c>
      <c r="W52" s="7" t="s">
        <v>212</v>
      </c>
      <c r="X52" s="16" t="s">
        <v>213</v>
      </c>
      <c r="Y52" s="68" t="s">
        <v>214</v>
      </c>
      <c r="Z52" s="6" t="s">
        <v>122</v>
      </c>
    </row>
    <row r="53" spans="1:26" s="11" customFormat="1" ht="12.75" customHeight="1">
      <c r="A53" s="11" t="s">
        <v>184</v>
      </c>
      <c r="B53" s="583">
        <v>45544</v>
      </c>
      <c r="C53" s="513" t="s">
        <v>216</v>
      </c>
      <c r="D53" s="57"/>
      <c r="E53" s="7"/>
      <c r="F53" s="64" t="s">
        <v>221</v>
      </c>
      <c r="G53" s="57"/>
      <c r="H53" s="6" t="s">
        <v>217</v>
      </c>
      <c r="I53" s="57"/>
      <c r="J53" s="57">
        <v>4543255307</v>
      </c>
      <c r="K53" s="67"/>
      <c r="L53" s="6" t="s">
        <v>218</v>
      </c>
      <c r="M53" s="16" t="s">
        <v>73</v>
      </c>
      <c r="N53" s="104"/>
      <c r="O53" s="104"/>
      <c r="P53" s="104"/>
      <c r="Q53" s="104"/>
      <c r="R53" s="104"/>
      <c r="S53" s="104"/>
      <c r="T53" s="104"/>
      <c r="U53" s="104"/>
      <c r="W53" s="7" t="s">
        <v>219</v>
      </c>
      <c r="X53" s="16">
        <v>9.4700000000000006</v>
      </c>
      <c r="Y53" s="68" t="s">
        <v>220</v>
      </c>
      <c r="Z53" s="6"/>
    </row>
    <row r="54" spans="1:26" s="11" customFormat="1" ht="12.75" customHeight="1">
      <c r="A54" s="18" t="s">
        <v>222</v>
      </c>
      <c r="B54" s="583">
        <v>45546</v>
      </c>
      <c r="C54" s="513" t="s">
        <v>223</v>
      </c>
      <c r="D54" s="58"/>
      <c r="E54" s="7"/>
      <c r="F54" s="66" t="s">
        <v>229</v>
      </c>
      <c r="G54" s="58"/>
      <c r="H54" s="56" t="s">
        <v>224</v>
      </c>
      <c r="I54" s="58"/>
      <c r="J54" s="57"/>
      <c r="K54" s="67"/>
      <c r="L54" s="6" t="s">
        <v>225</v>
      </c>
      <c r="M54" s="16" t="s">
        <v>73</v>
      </c>
      <c r="N54" s="105"/>
      <c r="O54" s="105"/>
      <c r="P54" s="105"/>
      <c r="Q54" s="105"/>
      <c r="R54" s="105"/>
      <c r="S54" s="105"/>
      <c r="T54" s="105"/>
      <c r="U54" s="105"/>
      <c r="V54" s="12" t="s">
        <v>226</v>
      </c>
      <c r="W54" s="7" t="s">
        <v>227</v>
      </c>
      <c r="X54" s="16"/>
      <c r="Y54" s="68" t="s">
        <v>228</v>
      </c>
      <c r="Z54" s="6" t="s">
        <v>826</v>
      </c>
    </row>
    <row r="55" spans="1:26" s="11" customFormat="1" ht="12.75" customHeight="1">
      <c r="A55" s="18" t="s">
        <v>188</v>
      </c>
      <c r="B55" s="583">
        <v>45547</v>
      </c>
      <c r="C55" s="513" t="s">
        <v>230</v>
      </c>
      <c r="D55" s="58" t="s">
        <v>142</v>
      </c>
      <c r="E55" s="7"/>
      <c r="F55" s="66" t="s">
        <v>229</v>
      </c>
      <c r="G55" s="58"/>
      <c r="H55" s="56" t="s">
        <v>231</v>
      </c>
      <c r="I55" s="58">
        <v>4541469714</v>
      </c>
      <c r="J55" s="57" t="s">
        <v>232</v>
      </c>
      <c r="K55" s="67"/>
      <c r="L55" s="8" t="s">
        <v>233</v>
      </c>
      <c r="M55" s="16" t="s">
        <v>73</v>
      </c>
      <c r="N55" s="105"/>
      <c r="O55" s="105"/>
      <c r="P55" s="105"/>
      <c r="Q55" s="105"/>
      <c r="R55" s="105"/>
      <c r="S55" s="105"/>
      <c r="T55" s="105"/>
      <c r="U55" s="105"/>
      <c r="V55" s="21"/>
      <c r="W55" s="7" t="s">
        <v>212</v>
      </c>
      <c r="X55" s="16">
        <v>192.15</v>
      </c>
      <c r="Y55" s="68" t="s">
        <v>234</v>
      </c>
      <c r="Z55" s="6" t="s">
        <v>122</v>
      </c>
    </row>
    <row r="56" spans="1:26" s="11" customFormat="1" ht="12.75" customHeight="1">
      <c r="A56" s="11" t="s">
        <v>235</v>
      </c>
      <c r="B56" s="583">
        <v>45548</v>
      </c>
      <c r="C56" s="513" t="s">
        <v>236</v>
      </c>
      <c r="D56" s="57"/>
      <c r="E56" s="7"/>
      <c r="F56" s="64"/>
      <c r="G56" s="57"/>
      <c r="H56" s="56" t="s">
        <v>237</v>
      </c>
      <c r="I56" s="57">
        <v>4541402188</v>
      </c>
      <c r="J56" s="57"/>
      <c r="K56" s="67"/>
      <c r="L56" s="6" t="s">
        <v>238</v>
      </c>
      <c r="M56" s="16" t="s">
        <v>73</v>
      </c>
      <c r="N56" s="104"/>
      <c r="O56" s="104"/>
      <c r="P56" s="104"/>
      <c r="Q56" s="104"/>
      <c r="R56" s="104"/>
      <c r="S56" s="104"/>
      <c r="T56" s="104"/>
      <c r="U56" s="104"/>
      <c r="V56" s="17"/>
      <c r="W56" s="7" t="s">
        <v>219</v>
      </c>
      <c r="X56" s="16"/>
      <c r="Y56" s="16" t="s">
        <v>239</v>
      </c>
      <c r="Z56" s="6"/>
    </row>
    <row r="57" spans="1:26" s="11" customFormat="1" ht="12.75" customHeight="1" thickBot="1">
      <c r="A57" s="11" t="s">
        <v>240</v>
      </c>
      <c r="B57" s="583">
        <v>45552</v>
      </c>
      <c r="C57" s="513" t="s">
        <v>241</v>
      </c>
      <c r="D57" s="57"/>
      <c r="E57" s="7"/>
      <c r="F57" s="66" t="s">
        <v>246</v>
      </c>
      <c r="G57" s="57"/>
      <c r="H57" s="6"/>
      <c r="I57" s="57"/>
      <c r="J57" s="57">
        <v>4543721749</v>
      </c>
      <c r="K57" s="344" t="s">
        <v>242</v>
      </c>
      <c r="L57" s="6" t="s">
        <v>243</v>
      </c>
      <c r="M57" s="16" t="s">
        <v>73</v>
      </c>
      <c r="N57" s="104"/>
      <c r="O57" s="104"/>
      <c r="P57" s="104"/>
      <c r="Q57" s="104"/>
      <c r="R57" s="104"/>
      <c r="S57" s="104"/>
      <c r="T57" s="104"/>
      <c r="U57" s="104"/>
      <c r="V57" s="17" t="s">
        <v>244</v>
      </c>
      <c r="W57" s="7" t="s">
        <v>219</v>
      </c>
      <c r="X57" s="16"/>
      <c r="Y57" s="16" t="s">
        <v>245</v>
      </c>
      <c r="Z57" s="6" t="s">
        <v>247</v>
      </c>
    </row>
    <row r="58" spans="1:26" s="11" customFormat="1">
      <c r="A58" s="69" t="s">
        <v>188</v>
      </c>
      <c r="B58" s="316">
        <v>45551</v>
      </c>
      <c r="C58" s="55" t="s">
        <v>248</v>
      </c>
      <c r="D58" s="262" t="s">
        <v>142</v>
      </c>
      <c r="E58" s="73"/>
      <c r="F58" s="70"/>
      <c r="G58" s="113"/>
      <c r="H58" s="55" t="s">
        <v>249</v>
      </c>
      <c r="I58" s="113"/>
      <c r="J58" s="113">
        <v>4543270057</v>
      </c>
      <c r="K58" s="345"/>
      <c r="L58" s="71" t="s">
        <v>805</v>
      </c>
      <c r="M58" s="72" t="s">
        <v>73</v>
      </c>
      <c r="N58" s="106"/>
      <c r="O58" s="106"/>
      <c r="P58" s="106"/>
      <c r="Q58" s="106"/>
      <c r="R58" s="106"/>
      <c r="S58" s="106"/>
      <c r="T58" s="106"/>
      <c r="U58" s="106"/>
      <c r="V58" s="74" t="s">
        <v>250</v>
      </c>
      <c r="W58" s="73" t="s">
        <v>212</v>
      </c>
      <c r="X58" s="72">
        <v>8.58</v>
      </c>
      <c r="Y58" s="72" t="s">
        <v>251</v>
      </c>
      <c r="Z58" s="71"/>
    </row>
    <row r="59" spans="1:26" s="11" customFormat="1" ht="12.75" customHeight="1">
      <c r="A59" s="11" t="s">
        <v>252</v>
      </c>
      <c r="B59" s="583">
        <v>45558</v>
      </c>
      <c r="C59" s="18" t="s">
        <v>253</v>
      </c>
      <c r="D59" s="58"/>
      <c r="E59" s="7"/>
      <c r="F59" s="64" t="s">
        <v>258</v>
      </c>
      <c r="G59" s="57"/>
      <c r="H59" s="6" t="s">
        <v>254</v>
      </c>
      <c r="I59" s="57">
        <v>4538597207</v>
      </c>
      <c r="J59" s="57">
        <v>4543441958</v>
      </c>
      <c r="K59" s="16"/>
      <c r="L59" s="6" t="s">
        <v>255</v>
      </c>
      <c r="M59" s="16" t="s">
        <v>73</v>
      </c>
      <c r="N59" s="104"/>
      <c r="O59" s="104"/>
      <c r="P59" s="104"/>
      <c r="Q59" s="104"/>
      <c r="R59" s="104"/>
      <c r="S59" s="104"/>
      <c r="T59" s="104"/>
      <c r="U59" s="104"/>
      <c r="W59" s="7" t="s">
        <v>212</v>
      </c>
      <c r="X59" s="16" t="s">
        <v>256</v>
      </c>
      <c r="Y59" s="68" t="s">
        <v>257</v>
      </c>
      <c r="Z59" s="6" t="s">
        <v>825</v>
      </c>
    </row>
    <row r="60" spans="1:26" s="11" customFormat="1" ht="12.75" customHeight="1">
      <c r="A60" s="11" t="s">
        <v>184</v>
      </c>
      <c r="B60" s="583">
        <v>45558</v>
      </c>
      <c r="C60" s="18" t="s">
        <v>259</v>
      </c>
      <c r="D60" s="58" t="s">
        <v>142</v>
      </c>
      <c r="E60" s="7"/>
      <c r="F60" s="66" t="s">
        <v>265</v>
      </c>
      <c r="G60" s="57"/>
      <c r="H60" s="6" t="s">
        <v>260</v>
      </c>
      <c r="I60" s="57">
        <v>4543298632</v>
      </c>
      <c r="J60" s="57">
        <v>4543345870</v>
      </c>
      <c r="K60" s="16" t="s">
        <v>261</v>
      </c>
      <c r="L60" s="6" t="s">
        <v>262</v>
      </c>
      <c r="M60" s="16" t="s">
        <v>73</v>
      </c>
      <c r="N60" s="104"/>
      <c r="O60" s="104"/>
      <c r="P60" s="104"/>
      <c r="Q60" s="104"/>
      <c r="R60" s="104"/>
      <c r="S60" s="104"/>
      <c r="T60" s="104"/>
      <c r="U60" s="104"/>
      <c r="V60" s="17" t="s">
        <v>263</v>
      </c>
      <c r="W60" s="7">
        <v>2</v>
      </c>
      <c r="X60" s="7">
        <v>0.55000000000000004</v>
      </c>
      <c r="Y60" s="16" t="s">
        <v>264</v>
      </c>
      <c r="Z60" s="6"/>
    </row>
    <row r="61" spans="1:26" s="11" customFormat="1" ht="12.75" customHeight="1">
      <c r="A61" s="11" t="s">
        <v>266</v>
      </c>
      <c r="B61" s="583">
        <v>45560</v>
      </c>
      <c r="C61" s="18" t="s">
        <v>267</v>
      </c>
      <c r="D61" s="57"/>
      <c r="E61" s="7"/>
      <c r="F61" s="66"/>
      <c r="G61" s="57"/>
      <c r="H61" s="6"/>
      <c r="I61" s="57"/>
      <c r="J61" s="57"/>
      <c r="K61" s="16"/>
      <c r="L61" s="6" t="s">
        <v>268</v>
      </c>
      <c r="M61" s="7"/>
      <c r="N61" s="104"/>
      <c r="O61" s="104"/>
      <c r="P61" s="104"/>
      <c r="Q61" s="104"/>
      <c r="R61" s="104"/>
      <c r="S61" s="104"/>
      <c r="T61" s="104"/>
      <c r="U61" s="104"/>
      <c r="V61" s="17"/>
      <c r="W61" s="7"/>
      <c r="X61" s="7"/>
      <c r="Y61" s="16"/>
      <c r="Z61" s="6" t="s">
        <v>824</v>
      </c>
    </row>
    <row r="62" spans="1:26" s="11" customFormat="1" ht="12.75" customHeight="1">
      <c r="A62" s="42" t="s">
        <v>269</v>
      </c>
      <c r="B62" s="100">
        <v>45572</v>
      </c>
      <c r="C62" s="76" t="s">
        <v>270</v>
      </c>
      <c r="D62" s="263"/>
      <c r="E62" s="75" t="s">
        <v>45</v>
      </c>
      <c r="F62" s="100" t="s">
        <v>274</v>
      </c>
      <c r="G62" s="114"/>
      <c r="H62" s="9" t="s">
        <v>271</v>
      </c>
      <c r="I62" s="114">
        <v>4542162175</v>
      </c>
      <c r="J62" s="114">
        <v>4544314821</v>
      </c>
      <c r="K62" s="30" t="s">
        <v>569</v>
      </c>
      <c r="L62" s="9" t="s">
        <v>272</v>
      </c>
      <c r="M62" s="30" t="s">
        <v>73</v>
      </c>
      <c r="N62" s="107"/>
      <c r="O62" s="107"/>
      <c r="P62" s="107"/>
      <c r="Q62" s="107"/>
      <c r="R62" s="107"/>
      <c r="S62" s="107"/>
      <c r="T62" s="107"/>
      <c r="U62" s="107"/>
      <c r="V62" s="77"/>
      <c r="W62" s="75">
        <v>2</v>
      </c>
      <c r="X62" s="75">
        <v>43.16</v>
      </c>
      <c r="Y62" s="303" t="s">
        <v>273</v>
      </c>
      <c r="Z62" s="9"/>
    </row>
    <row r="63" spans="1:26" s="11" customFormat="1" ht="12.75" customHeight="1">
      <c r="A63" s="11" t="s">
        <v>98</v>
      </c>
      <c r="B63" s="583">
        <v>45574</v>
      </c>
      <c r="C63" s="18" t="s">
        <v>275</v>
      </c>
      <c r="D63" s="58"/>
      <c r="E63" s="7"/>
      <c r="F63" s="66" t="s">
        <v>278</v>
      </c>
      <c r="G63" s="57"/>
      <c r="H63" s="6"/>
      <c r="I63" s="57">
        <v>4540116178</v>
      </c>
      <c r="J63" s="57" t="s">
        <v>276</v>
      </c>
      <c r="K63" s="16"/>
      <c r="L63" s="6" t="s">
        <v>277</v>
      </c>
      <c r="M63" s="16" t="s">
        <v>73</v>
      </c>
      <c r="N63" s="104"/>
      <c r="O63" s="104"/>
      <c r="P63" s="104"/>
      <c r="Q63" s="104"/>
      <c r="R63" s="104"/>
      <c r="S63" s="104"/>
      <c r="T63" s="104"/>
      <c r="U63" s="104"/>
      <c r="V63" s="17"/>
      <c r="W63" s="7">
        <v>9</v>
      </c>
      <c r="X63" s="7">
        <v>54.79</v>
      </c>
      <c r="Y63" s="16">
        <v>541</v>
      </c>
      <c r="Z63" s="6" t="s">
        <v>279</v>
      </c>
    </row>
    <row r="64" spans="1:26" s="11" customFormat="1" ht="12.75" customHeight="1">
      <c r="A64" s="19" t="s">
        <v>252</v>
      </c>
      <c r="B64" s="88">
        <v>45575</v>
      </c>
      <c r="C64" s="20" t="s">
        <v>280</v>
      </c>
      <c r="D64" s="96"/>
      <c r="E64" s="34"/>
      <c r="F64" s="88" t="s">
        <v>283</v>
      </c>
      <c r="G64" s="111"/>
      <c r="H64" s="10"/>
      <c r="I64" s="111"/>
      <c r="J64" s="111"/>
      <c r="K64" s="22"/>
      <c r="L64" s="10" t="s">
        <v>281</v>
      </c>
      <c r="M64" s="22" t="s">
        <v>73</v>
      </c>
      <c r="N64" s="108"/>
      <c r="O64" s="108"/>
      <c r="P64" s="108"/>
      <c r="Q64" s="108"/>
      <c r="R64" s="108"/>
      <c r="S64" s="108"/>
      <c r="T64" s="108"/>
      <c r="U64" s="108"/>
      <c r="V64" s="80"/>
      <c r="W64" s="34">
        <v>500</v>
      </c>
      <c r="X64" s="34">
        <v>0.6</v>
      </c>
      <c r="Y64" s="22" t="s">
        <v>282</v>
      </c>
      <c r="Z64" s="6" t="s">
        <v>825</v>
      </c>
    </row>
    <row r="65" spans="1:26" s="11" customFormat="1" ht="27.6">
      <c r="A65" s="42" t="s">
        <v>188</v>
      </c>
      <c r="B65" s="100">
        <v>45581</v>
      </c>
      <c r="C65" s="76" t="s">
        <v>284</v>
      </c>
      <c r="D65" s="263" t="s">
        <v>357</v>
      </c>
      <c r="E65" s="75"/>
      <c r="F65" s="100"/>
      <c r="G65" s="114"/>
      <c r="H65" s="9" t="s">
        <v>285</v>
      </c>
      <c r="I65" s="114" t="s">
        <v>358</v>
      </c>
      <c r="J65" s="114"/>
      <c r="K65" s="30"/>
      <c r="L65" s="9" t="s">
        <v>286</v>
      </c>
      <c r="M65" s="30" t="s">
        <v>73</v>
      </c>
      <c r="N65" s="109"/>
      <c r="O65" s="109"/>
      <c r="P65" s="109"/>
      <c r="Q65" s="109"/>
      <c r="R65" s="109"/>
      <c r="S65" s="109"/>
      <c r="T65" s="109"/>
      <c r="U65" s="109"/>
      <c r="V65" s="77"/>
      <c r="W65" s="78"/>
      <c r="X65" s="75"/>
      <c r="Y65" s="30"/>
      <c r="Z65" s="9" t="s">
        <v>309</v>
      </c>
    </row>
    <row r="66" spans="1:26" s="11" customFormat="1" ht="27.6">
      <c r="A66" s="81" t="s">
        <v>287</v>
      </c>
      <c r="B66" s="317">
        <v>45583</v>
      </c>
      <c r="C66" s="515" t="s">
        <v>288</v>
      </c>
      <c r="D66" s="264"/>
      <c r="E66" s="84"/>
      <c r="F66" s="82"/>
      <c r="G66" s="115"/>
      <c r="H66" s="85"/>
      <c r="I66" s="115"/>
      <c r="J66" s="111"/>
      <c r="K66" s="83"/>
      <c r="L66" s="10">
        <v>59102179</v>
      </c>
      <c r="M66" s="83" t="s">
        <v>73</v>
      </c>
      <c r="N66" s="108"/>
      <c r="O66" s="108"/>
      <c r="P66" s="108"/>
      <c r="Q66" s="108"/>
      <c r="R66" s="108"/>
      <c r="S66" s="108"/>
      <c r="T66" s="108"/>
      <c r="U66" s="108"/>
      <c r="V66" s="81"/>
      <c r="W66" s="84"/>
      <c r="X66" s="84"/>
      <c r="Y66" s="83"/>
      <c r="Z66" s="6" t="s">
        <v>823</v>
      </c>
    </row>
    <row r="67" spans="1:26" s="11" customFormat="1" ht="12.75" customHeight="1">
      <c r="A67" s="42" t="s">
        <v>188</v>
      </c>
      <c r="B67" s="100">
        <v>45586</v>
      </c>
      <c r="C67" s="76" t="s">
        <v>289</v>
      </c>
      <c r="D67" s="263" t="s">
        <v>142</v>
      </c>
      <c r="E67" s="75"/>
      <c r="F67" s="100" t="s">
        <v>294</v>
      </c>
      <c r="G67" s="114"/>
      <c r="H67" s="9" t="s">
        <v>290</v>
      </c>
      <c r="I67" s="114" t="s">
        <v>291</v>
      </c>
      <c r="J67" s="114" t="s">
        <v>292</v>
      </c>
      <c r="K67" s="30" t="s">
        <v>293</v>
      </c>
      <c r="L67" s="9" t="s">
        <v>352</v>
      </c>
      <c r="M67" s="30" t="s">
        <v>73</v>
      </c>
      <c r="N67" s="109"/>
      <c r="O67" s="109"/>
      <c r="P67" s="109"/>
      <c r="Q67" s="109"/>
      <c r="R67" s="109"/>
      <c r="S67" s="109"/>
      <c r="T67" s="109"/>
      <c r="U67" s="109"/>
      <c r="V67" s="42"/>
      <c r="W67" s="75">
        <v>1</v>
      </c>
      <c r="X67" s="75">
        <v>100.16</v>
      </c>
      <c r="Y67" s="30">
        <v>148.46</v>
      </c>
      <c r="Z67" s="9"/>
    </row>
    <row r="68" spans="1:26" s="11" customFormat="1" ht="12.75" customHeight="1">
      <c r="A68" s="11" t="s">
        <v>81</v>
      </c>
      <c r="B68" s="583">
        <v>45586</v>
      </c>
      <c r="C68" s="18" t="s">
        <v>295</v>
      </c>
      <c r="D68" s="58" t="s">
        <v>142</v>
      </c>
      <c r="E68" s="7"/>
      <c r="F68" s="66" t="s">
        <v>297</v>
      </c>
      <c r="G68" s="57"/>
      <c r="H68" s="6" t="s">
        <v>296</v>
      </c>
      <c r="I68" s="57"/>
      <c r="J68" s="57">
        <v>4543683320</v>
      </c>
      <c r="K68" s="16"/>
      <c r="L68" s="6" t="s">
        <v>611</v>
      </c>
      <c r="M68" s="16" t="s">
        <v>73</v>
      </c>
      <c r="N68" s="105"/>
      <c r="O68" s="105"/>
      <c r="P68" s="105"/>
      <c r="Q68" s="105"/>
      <c r="R68" s="105"/>
      <c r="S68" s="105"/>
      <c r="T68" s="105"/>
      <c r="U68" s="105"/>
      <c r="W68" s="7">
        <v>2</v>
      </c>
      <c r="X68" s="7">
        <v>19.850000000000001</v>
      </c>
      <c r="Y68" s="16">
        <v>88</v>
      </c>
      <c r="Z68" s="6" t="s">
        <v>827</v>
      </c>
    </row>
    <row r="69" spans="1:26" s="18" customFormat="1" ht="24.75" customHeight="1">
      <c r="A69" s="18" t="s">
        <v>354</v>
      </c>
      <c r="B69" s="318">
        <v>45587</v>
      </c>
      <c r="C69" s="18" t="s">
        <v>298</v>
      </c>
      <c r="D69" s="265"/>
      <c r="E69" s="16"/>
      <c r="F69" s="318" t="s">
        <v>356</v>
      </c>
      <c r="G69" s="265"/>
      <c r="H69" s="21"/>
      <c r="I69" s="265"/>
      <c r="J69" s="839"/>
      <c r="K69" s="86"/>
      <c r="L69" s="56" t="s">
        <v>299</v>
      </c>
      <c r="M69" s="16" t="s">
        <v>73</v>
      </c>
      <c r="N69" s="105"/>
      <c r="O69" s="105"/>
      <c r="P69" s="105"/>
      <c r="Q69" s="105"/>
      <c r="R69" s="105"/>
      <c r="S69" s="105"/>
      <c r="T69" s="105"/>
      <c r="U69" s="105"/>
      <c r="V69" s="95"/>
      <c r="W69" s="16">
        <v>50</v>
      </c>
      <c r="X69" s="16">
        <v>5.54</v>
      </c>
      <c r="Y69" s="16" t="s">
        <v>372</v>
      </c>
      <c r="Z69" s="679" t="s">
        <v>371</v>
      </c>
    </row>
    <row r="70" spans="1:26" s="18" customFormat="1" ht="24.75" customHeight="1">
      <c r="A70" s="18" t="s">
        <v>354</v>
      </c>
      <c r="B70" s="318">
        <v>45607</v>
      </c>
      <c r="C70" s="130" t="s">
        <v>370</v>
      </c>
      <c r="D70" s="265"/>
      <c r="E70" s="16"/>
      <c r="F70" s="318" t="s">
        <v>368</v>
      </c>
      <c r="G70" s="265"/>
      <c r="H70" s="21"/>
      <c r="I70" s="265"/>
      <c r="J70" s="839"/>
      <c r="K70" s="86"/>
      <c r="L70" s="21" t="s">
        <v>369</v>
      </c>
      <c r="M70" s="16" t="s">
        <v>73</v>
      </c>
      <c r="N70" s="105"/>
      <c r="O70" s="105"/>
      <c r="P70" s="105"/>
      <c r="Q70" s="105"/>
      <c r="R70" s="105"/>
      <c r="S70" s="105"/>
      <c r="T70" s="105"/>
      <c r="U70" s="105"/>
      <c r="V70" s="95"/>
      <c r="W70" s="86">
        <v>7</v>
      </c>
      <c r="X70" s="86"/>
      <c r="Y70" s="16" t="s">
        <v>355</v>
      </c>
      <c r="Z70" s="679" t="s">
        <v>371</v>
      </c>
    </row>
    <row r="71" spans="1:26" s="18" customFormat="1" ht="15.75" customHeight="1">
      <c r="A71" s="18" t="s">
        <v>98</v>
      </c>
      <c r="B71" s="583">
        <v>45587</v>
      </c>
      <c r="C71" s="18" t="s">
        <v>300</v>
      </c>
      <c r="D71" s="58"/>
      <c r="E71" s="16"/>
      <c r="F71" s="66" t="s">
        <v>294</v>
      </c>
      <c r="G71" s="58"/>
      <c r="H71" s="56"/>
      <c r="I71" s="58"/>
      <c r="J71" s="839"/>
      <c r="K71" s="16"/>
      <c r="L71" s="56" t="s">
        <v>301</v>
      </c>
      <c r="M71" s="16" t="s">
        <v>73</v>
      </c>
      <c r="N71" s="105"/>
      <c r="O71" s="105"/>
      <c r="P71" s="105"/>
      <c r="Q71" s="105"/>
      <c r="R71" s="105"/>
      <c r="S71" s="105"/>
      <c r="T71" s="105"/>
      <c r="U71" s="105"/>
      <c r="W71" s="16">
        <v>1</v>
      </c>
      <c r="X71" s="16">
        <v>194.25</v>
      </c>
      <c r="Y71" s="16">
        <v>242.55</v>
      </c>
      <c r="Z71" s="679" t="s">
        <v>279</v>
      </c>
    </row>
    <row r="72" spans="1:26" s="18" customFormat="1">
      <c r="A72" s="20" t="s">
        <v>302</v>
      </c>
      <c r="B72" s="88">
        <v>45589</v>
      </c>
      <c r="C72" s="20" t="s">
        <v>303</v>
      </c>
      <c r="D72" s="96"/>
      <c r="E72" s="22"/>
      <c r="F72" s="88"/>
      <c r="G72" s="96"/>
      <c r="H72" s="62"/>
      <c r="I72" s="96"/>
      <c r="J72" s="96"/>
      <c r="K72" s="22"/>
      <c r="L72" s="62" t="s">
        <v>304</v>
      </c>
      <c r="M72" s="22"/>
      <c r="N72" s="108"/>
      <c r="O72" s="108"/>
      <c r="P72" s="108"/>
      <c r="Q72" s="108"/>
      <c r="R72" s="108"/>
      <c r="S72" s="108"/>
      <c r="T72" s="108"/>
      <c r="U72" s="108"/>
      <c r="V72" s="20"/>
      <c r="W72" s="22"/>
      <c r="X72" s="22"/>
      <c r="Y72" s="22"/>
      <c r="Z72" s="62" t="s">
        <v>427</v>
      </c>
    </row>
    <row r="73" spans="1:26" s="18" customFormat="1" ht="12.75" customHeight="1">
      <c r="A73" s="76" t="s">
        <v>184</v>
      </c>
      <c r="B73" s="100">
        <v>45593</v>
      </c>
      <c r="C73" s="76" t="s">
        <v>305</v>
      </c>
      <c r="D73" s="263"/>
      <c r="E73" s="30"/>
      <c r="F73" s="100" t="s">
        <v>308</v>
      </c>
      <c r="G73" s="263"/>
      <c r="H73" s="61" t="s">
        <v>306</v>
      </c>
      <c r="I73" s="263"/>
      <c r="J73" s="839">
        <v>4543836152</v>
      </c>
      <c r="K73" s="30"/>
      <c r="L73" s="61" t="s">
        <v>307</v>
      </c>
      <c r="M73" s="30" t="s">
        <v>73</v>
      </c>
      <c r="N73" s="109"/>
      <c r="O73" s="109"/>
      <c r="P73" s="109"/>
      <c r="Q73" s="109"/>
      <c r="R73" s="109"/>
      <c r="S73" s="109"/>
      <c r="T73" s="109"/>
      <c r="U73" s="109"/>
      <c r="V73" s="76"/>
      <c r="W73" s="30">
        <v>20</v>
      </c>
      <c r="X73" s="30">
        <v>7.75</v>
      </c>
      <c r="Y73" s="30">
        <v>203.3</v>
      </c>
      <c r="Z73" s="679" t="s">
        <v>309</v>
      </c>
    </row>
    <row r="74" spans="1:26" s="18" customFormat="1" ht="27.6">
      <c r="A74" s="18" t="s">
        <v>184</v>
      </c>
      <c r="B74" s="583">
        <v>45595</v>
      </c>
      <c r="C74" s="18" t="s">
        <v>310</v>
      </c>
      <c r="D74" s="58" t="s">
        <v>142</v>
      </c>
      <c r="E74" s="16"/>
      <c r="F74" s="66" t="s">
        <v>308</v>
      </c>
      <c r="G74" s="58"/>
      <c r="H74" s="56" t="s">
        <v>311</v>
      </c>
      <c r="I74" s="58"/>
      <c r="J74" s="839">
        <v>4543778983</v>
      </c>
      <c r="K74" s="16"/>
      <c r="L74" s="56" t="s">
        <v>312</v>
      </c>
      <c r="M74" s="16" t="s">
        <v>73</v>
      </c>
      <c r="N74" s="105"/>
      <c r="O74" s="105"/>
      <c r="P74" s="105"/>
      <c r="Q74" s="105"/>
      <c r="R74" s="105"/>
      <c r="S74" s="105"/>
      <c r="T74" s="105"/>
      <c r="U74" s="105"/>
      <c r="W74" s="16">
        <v>4</v>
      </c>
      <c r="X74" s="16"/>
      <c r="Y74" s="16"/>
      <c r="Z74" s="679" t="s">
        <v>309</v>
      </c>
    </row>
    <row r="75" spans="1:26" s="18" customFormat="1">
      <c r="A75" s="18" t="s">
        <v>313</v>
      </c>
      <c r="B75" s="583">
        <v>45596</v>
      </c>
      <c r="C75" s="513" t="s">
        <v>314</v>
      </c>
      <c r="D75" s="58"/>
      <c r="E75" s="16"/>
      <c r="F75" s="66"/>
      <c r="G75" s="58"/>
      <c r="H75" s="56"/>
      <c r="I75" s="58"/>
      <c r="J75" s="839"/>
      <c r="K75" s="16"/>
      <c r="L75" s="56" t="s">
        <v>315</v>
      </c>
      <c r="M75" s="16"/>
      <c r="N75" s="105"/>
      <c r="O75" s="105"/>
      <c r="P75" s="105"/>
      <c r="Q75" s="105"/>
      <c r="R75" s="105"/>
      <c r="S75" s="105"/>
      <c r="T75" s="105"/>
      <c r="U75" s="105"/>
      <c r="W75" s="16"/>
      <c r="X75" s="16"/>
      <c r="Y75" s="16"/>
      <c r="Z75" s="679"/>
    </row>
    <row r="76" spans="1:26" s="18" customFormat="1" ht="27.6">
      <c r="A76" s="18" t="s">
        <v>98</v>
      </c>
      <c r="B76" s="583">
        <v>45601</v>
      </c>
      <c r="C76" s="18" t="s">
        <v>316</v>
      </c>
      <c r="D76" s="58"/>
      <c r="E76" s="16"/>
      <c r="F76" s="66" t="s">
        <v>367</v>
      </c>
      <c r="G76" s="58"/>
      <c r="H76" s="56" t="s">
        <v>366</v>
      </c>
      <c r="I76" s="58" t="s">
        <v>317</v>
      </c>
      <c r="J76" s="839">
        <v>4543970065</v>
      </c>
      <c r="K76" s="16"/>
      <c r="L76" s="56" t="s">
        <v>318</v>
      </c>
      <c r="M76" s="16" t="s">
        <v>73</v>
      </c>
      <c r="N76" s="829"/>
      <c r="O76" s="16"/>
      <c r="P76" s="16"/>
      <c r="Q76" s="16"/>
      <c r="R76" s="16"/>
      <c r="S76" s="16"/>
      <c r="T76" s="16"/>
      <c r="U76" s="16"/>
      <c r="W76" s="16">
        <v>12</v>
      </c>
      <c r="X76" s="16"/>
      <c r="Y76" s="16">
        <v>250</v>
      </c>
      <c r="Z76" s="679"/>
    </row>
    <row r="77" spans="1:26" s="18" customFormat="1" ht="18" customHeight="1">
      <c r="A77" s="20" t="s">
        <v>98</v>
      </c>
      <c r="B77" s="88">
        <v>45604</v>
      </c>
      <c r="C77" s="20" t="s">
        <v>319</v>
      </c>
      <c r="D77" s="96"/>
      <c r="E77" s="22"/>
      <c r="F77" s="88" t="s">
        <v>321</v>
      </c>
      <c r="G77" s="96"/>
      <c r="H77" s="62"/>
      <c r="I77" s="96"/>
      <c r="J77" s="96"/>
      <c r="K77" s="22"/>
      <c r="L77" s="62" t="s">
        <v>320</v>
      </c>
      <c r="M77" s="22" t="s">
        <v>73</v>
      </c>
      <c r="N77" s="22"/>
      <c r="O77" s="22"/>
      <c r="P77" s="22"/>
      <c r="Q77" s="22"/>
      <c r="R77" s="22"/>
      <c r="S77" s="22"/>
      <c r="T77" s="22"/>
      <c r="U77" s="22"/>
      <c r="V77" s="20"/>
      <c r="W77" s="22">
        <v>8</v>
      </c>
      <c r="X77" s="22"/>
      <c r="Y77" s="22">
        <v>605</v>
      </c>
      <c r="Z77" s="62"/>
    </row>
    <row r="78" spans="1:26" s="18" customFormat="1" ht="25.5" customHeight="1">
      <c r="A78" s="76" t="s">
        <v>184</v>
      </c>
      <c r="B78" s="100">
        <v>45609</v>
      </c>
      <c r="C78" s="76" t="s">
        <v>507</v>
      </c>
      <c r="D78" s="263"/>
      <c r="E78" s="30"/>
      <c r="F78" s="66" t="s">
        <v>409</v>
      </c>
      <c r="G78" s="263"/>
      <c r="H78" s="61" t="s">
        <v>376</v>
      </c>
      <c r="I78" s="263" t="s">
        <v>377</v>
      </c>
      <c r="J78" s="263">
        <v>4544000665</v>
      </c>
      <c r="K78" s="30"/>
      <c r="L78" s="76" t="s">
        <v>412</v>
      </c>
      <c r="M78" s="30" t="s">
        <v>73</v>
      </c>
      <c r="N78" s="105"/>
      <c r="O78" s="105"/>
      <c r="P78" s="105"/>
      <c r="Q78" s="105"/>
      <c r="R78" s="105"/>
      <c r="S78" s="105"/>
      <c r="T78" s="105"/>
      <c r="U78" s="105"/>
      <c r="V78" s="18" t="s">
        <v>406</v>
      </c>
      <c r="W78" s="16" t="s">
        <v>410</v>
      </c>
      <c r="X78" s="30"/>
      <c r="Y78" s="16" t="s">
        <v>411</v>
      </c>
      <c r="Z78" s="679" t="s">
        <v>309</v>
      </c>
    </row>
    <row r="79" spans="1:26" s="18" customFormat="1" ht="41.4">
      <c r="A79" s="18" t="s">
        <v>361</v>
      </c>
      <c r="B79" s="583">
        <v>45610</v>
      </c>
      <c r="C79" s="18" t="s">
        <v>418</v>
      </c>
      <c r="D79" s="58"/>
      <c r="E79" s="16"/>
      <c r="F79" s="66"/>
      <c r="G79" s="58"/>
      <c r="H79" s="56" t="s">
        <v>419</v>
      </c>
      <c r="I79" s="58" t="s">
        <v>618</v>
      </c>
      <c r="J79" s="839" t="s">
        <v>432</v>
      </c>
      <c r="K79" s="32" t="s">
        <v>520</v>
      </c>
      <c r="L79" s="18" t="s">
        <v>362</v>
      </c>
      <c r="M79" s="16" t="s">
        <v>73</v>
      </c>
      <c r="N79" s="105"/>
      <c r="O79" s="105"/>
      <c r="P79" s="105"/>
      <c r="Q79" s="105"/>
      <c r="R79" s="105"/>
      <c r="S79" s="105"/>
      <c r="T79" s="105"/>
      <c r="U79" s="105"/>
      <c r="W79" s="16"/>
      <c r="X79" s="16"/>
      <c r="Y79" s="16"/>
      <c r="Z79" s="679" t="s">
        <v>360</v>
      </c>
    </row>
    <row r="80" spans="1:26" s="11" customFormat="1">
      <c r="A80" s="11" t="s">
        <v>361</v>
      </c>
      <c r="B80" s="583">
        <v>45610</v>
      </c>
      <c r="C80" s="18" t="s">
        <v>413</v>
      </c>
      <c r="D80" s="58"/>
      <c r="E80" s="7"/>
      <c r="F80" s="64"/>
      <c r="G80" s="57"/>
      <c r="H80" s="6" t="s">
        <v>419</v>
      </c>
      <c r="I80" s="57" t="s">
        <v>618</v>
      </c>
      <c r="J80" s="57" t="s">
        <v>432</v>
      </c>
      <c r="K80" s="16"/>
      <c r="L80" s="18" t="s">
        <v>414</v>
      </c>
      <c r="M80" s="7" t="s">
        <v>73</v>
      </c>
      <c r="N80" s="105"/>
      <c r="O80" s="105"/>
      <c r="P80" s="105"/>
      <c r="Q80" s="105"/>
      <c r="R80" s="105"/>
      <c r="S80" s="105"/>
      <c r="T80" s="105"/>
      <c r="U80" s="105"/>
      <c r="W80" s="7"/>
      <c r="X80" s="7"/>
      <c r="Y80" s="16"/>
      <c r="Z80" s="6" t="s">
        <v>360</v>
      </c>
    </row>
    <row r="81" spans="1:55" s="18" customFormat="1" ht="55.2">
      <c r="A81" s="18" t="s">
        <v>423</v>
      </c>
      <c r="B81" s="583">
        <v>45611</v>
      </c>
      <c r="C81" s="18" t="s">
        <v>508</v>
      </c>
      <c r="D81" s="58"/>
      <c r="E81" s="7"/>
      <c r="F81" s="66" t="s">
        <v>429</v>
      </c>
      <c r="G81" s="58"/>
      <c r="H81" s="56" t="s">
        <v>681</v>
      </c>
      <c r="I81" s="58"/>
      <c r="J81" s="57">
        <v>4544238973</v>
      </c>
      <c r="K81" s="32" t="s">
        <v>509</v>
      </c>
      <c r="L81" s="18" t="s">
        <v>364</v>
      </c>
      <c r="M81" s="16" t="s">
        <v>73</v>
      </c>
      <c r="N81" s="105"/>
      <c r="O81" s="105"/>
      <c r="P81" s="105"/>
      <c r="Q81" s="105"/>
      <c r="R81" s="105"/>
      <c r="S81" s="105"/>
      <c r="T81" s="105"/>
      <c r="U81" s="105"/>
      <c r="W81" s="16">
        <v>2</v>
      </c>
      <c r="X81" s="16"/>
      <c r="Y81" s="16">
        <v>143</v>
      </c>
      <c r="Z81" s="679" t="s">
        <v>363</v>
      </c>
    </row>
    <row r="82" spans="1:55" s="18" customFormat="1" ht="41.4">
      <c r="A82" s="20" t="s">
        <v>424</v>
      </c>
      <c r="B82" s="88">
        <v>45611</v>
      </c>
      <c r="C82" s="20" t="s">
        <v>510</v>
      </c>
      <c r="D82" s="96"/>
      <c r="E82" s="34"/>
      <c r="F82" s="88" t="s">
        <v>426</v>
      </c>
      <c r="G82" s="96"/>
      <c r="H82" s="62" t="s">
        <v>682</v>
      </c>
      <c r="I82" s="96"/>
      <c r="J82" s="111" t="s">
        <v>430</v>
      </c>
      <c r="K82" s="89" t="s">
        <v>425</v>
      </c>
      <c r="L82" s="20" t="s">
        <v>365</v>
      </c>
      <c r="M82" s="22" t="s">
        <v>73</v>
      </c>
      <c r="N82" s="108"/>
      <c r="O82" s="108"/>
      <c r="P82" s="108"/>
      <c r="Q82" s="108"/>
      <c r="R82" s="108"/>
      <c r="S82" s="108"/>
      <c r="T82" s="108"/>
      <c r="U82" s="108"/>
      <c r="V82" s="20"/>
      <c r="W82" s="22"/>
      <c r="X82" s="22"/>
      <c r="Y82" s="22"/>
      <c r="Z82" s="62" t="s">
        <v>363</v>
      </c>
    </row>
    <row r="83" spans="1:55" s="11" customFormat="1" ht="27.6">
      <c r="A83" s="6" t="s">
        <v>313</v>
      </c>
      <c r="B83" s="583">
        <v>45614</v>
      </c>
      <c r="C83" s="18" t="s">
        <v>373</v>
      </c>
      <c r="D83" s="58"/>
      <c r="E83" s="7"/>
      <c r="F83" s="64" t="s">
        <v>409</v>
      </c>
      <c r="G83" s="57"/>
      <c r="H83" s="6"/>
      <c r="I83" s="57"/>
      <c r="J83" s="57"/>
      <c r="K83" s="18"/>
      <c r="L83" s="11" t="s">
        <v>415</v>
      </c>
      <c r="M83" s="7" t="s">
        <v>73</v>
      </c>
      <c r="N83" s="105"/>
      <c r="O83" s="105"/>
      <c r="P83" s="105"/>
      <c r="Q83" s="105"/>
      <c r="R83" s="105"/>
      <c r="S83" s="105"/>
      <c r="T83" s="105"/>
      <c r="U83" s="105"/>
      <c r="V83" s="11" t="s">
        <v>417</v>
      </c>
      <c r="W83" s="16">
        <v>1</v>
      </c>
      <c r="X83" s="7">
        <v>4.2699999999999996</v>
      </c>
      <c r="Y83" s="16">
        <v>52.57</v>
      </c>
      <c r="Z83" s="6"/>
    </row>
    <row r="84" spans="1:55" s="11" customFormat="1" ht="12.75" customHeight="1">
      <c r="A84" s="6" t="s">
        <v>375</v>
      </c>
      <c r="B84" s="583">
        <v>45615</v>
      </c>
      <c r="C84" s="18" t="s">
        <v>374</v>
      </c>
      <c r="D84" s="58"/>
      <c r="E84" s="7" t="s">
        <v>45</v>
      </c>
      <c r="F84" s="64" t="s">
        <v>456</v>
      </c>
      <c r="G84" s="57"/>
      <c r="H84" s="6" t="s">
        <v>557</v>
      </c>
      <c r="I84" s="57"/>
      <c r="J84" s="57"/>
      <c r="K84" s="16" t="s">
        <v>447</v>
      </c>
      <c r="L84" s="18" t="s">
        <v>457</v>
      </c>
      <c r="M84" s="7" t="s">
        <v>73</v>
      </c>
      <c r="N84" s="105"/>
      <c r="O84" s="105"/>
      <c r="P84" s="105"/>
      <c r="Q84" s="105"/>
      <c r="R84" s="105"/>
      <c r="S84" s="105"/>
      <c r="T84" s="105"/>
      <c r="U84" s="105"/>
      <c r="V84" s="11" t="s">
        <v>416</v>
      </c>
      <c r="W84" s="16">
        <v>8</v>
      </c>
      <c r="X84" s="7"/>
      <c r="Y84" s="16" t="s">
        <v>663</v>
      </c>
      <c r="Z84" s="6" t="s">
        <v>458</v>
      </c>
    </row>
    <row r="85" spans="1:55" s="18" customFormat="1" ht="41.4">
      <c r="A85" s="18" t="s">
        <v>398</v>
      </c>
      <c r="B85" s="583">
        <v>45615</v>
      </c>
      <c r="C85" s="18" t="s">
        <v>511</v>
      </c>
      <c r="D85" s="58"/>
      <c r="E85" s="7"/>
      <c r="F85" s="66" t="s">
        <v>426</v>
      </c>
      <c r="G85" s="58"/>
      <c r="H85" s="56" t="s">
        <v>399</v>
      </c>
      <c r="I85" s="58"/>
      <c r="J85" s="57"/>
      <c r="K85" s="32" t="s">
        <v>420</v>
      </c>
      <c r="L85" s="18" t="s">
        <v>402</v>
      </c>
      <c r="M85" s="16" t="s">
        <v>73</v>
      </c>
      <c r="N85" s="829"/>
      <c r="O85" s="16"/>
      <c r="P85" s="16"/>
      <c r="Q85" s="16"/>
      <c r="R85" s="16"/>
      <c r="S85" s="16"/>
      <c r="T85" s="16"/>
      <c r="U85" s="16"/>
      <c r="W85" s="16"/>
      <c r="X85" s="16"/>
      <c r="Y85" s="16">
        <v>147</v>
      </c>
      <c r="Z85" s="679"/>
    </row>
    <row r="86" spans="1:55" s="18" customFormat="1" ht="27.6">
      <c r="A86" s="18" t="s">
        <v>398</v>
      </c>
      <c r="B86" s="583">
        <v>45615</v>
      </c>
      <c r="C86" s="18" t="s">
        <v>691</v>
      </c>
      <c r="D86" s="58"/>
      <c r="E86" s="7"/>
      <c r="F86" s="66" t="s">
        <v>409</v>
      </c>
      <c r="G86" s="58"/>
      <c r="H86" s="56" t="s">
        <v>400</v>
      </c>
      <c r="I86" s="58"/>
      <c r="J86" s="57"/>
      <c r="K86" s="33" t="s">
        <v>421</v>
      </c>
      <c r="L86" s="18" t="s">
        <v>401</v>
      </c>
      <c r="M86" s="16" t="s">
        <v>73</v>
      </c>
      <c r="N86" s="829"/>
      <c r="O86" s="16"/>
      <c r="P86" s="16"/>
      <c r="Q86" s="16"/>
      <c r="R86" s="16"/>
      <c r="S86" s="16"/>
      <c r="T86" s="16"/>
      <c r="U86" s="16"/>
      <c r="W86" s="16"/>
      <c r="X86" s="16"/>
      <c r="Y86" s="16">
        <v>97</v>
      </c>
      <c r="Z86" s="679"/>
    </row>
    <row r="87" spans="1:55" s="18" customFormat="1" ht="45" customHeight="1">
      <c r="A87" s="18" t="s">
        <v>398</v>
      </c>
      <c r="B87" s="583">
        <v>45615</v>
      </c>
      <c r="C87" s="18" t="s">
        <v>403</v>
      </c>
      <c r="D87" s="58"/>
      <c r="E87" s="7"/>
      <c r="F87" s="66" t="s">
        <v>409</v>
      </c>
      <c r="G87" s="58"/>
      <c r="H87" s="56" t="s">
        <v>405</v>
      </c>
      <c r="I87" s="58"/>
      <c r="J87" s="57"/>
      <c r="K87" s="33" t="s">
        <v>422</v>
      </c>
      <c r="L87" s="18" t="s">
        <v>404</v>
      </c>
      <c r="M87" s="16" t="s">
        <v>73</v>
      </c>
      <c r="N87" s="829"/>
      <c r="O87" s="16"/>
      <c r="P87" s="16"/>
      <c r="Q87" s="16"/>
      <c r="R87" s="16"/>
      <c r="S87" s="16"/>
      <c r="T87" s="16"/>
      <c r="U87" s="16"/>
      <c r="W87" s="16"/>
      <c r="X87" s="16"/>
      <c r="Y87" s="16">
        <v>96</v>
      </c>
      <c r="Z87" s="679"/>
    </row>
    <row r="88" spans="1:55" s="11" customFormat="1" ht="27.6">
      <c r="A88" s="19" t="s">
        <v>184</v>
      </c>
      <c r="B88" s="88">
        <v>45616</v>
      </c>
      <c r="C88" s="20" t="s">
        <v>359</v>
      </c>
      <c r="D88" s="96"/>
      <c r="E88" s="34"/>
      <c r="F88" s="79" t="s">
        <v>409</v>
      </c>
      <c r="G88" s="111"/>
      <c r="H88" s="62" t="s">
        <v>407</v>
      </c>
      <c r="I88" s="111"/>
      <c r="J88" s="111"/>
      <c r="K88" s="22"/>
      <c r="L88" s="19" t="s">
        <v>408</v>
      </c>
      <c r="M88" s="34" t="s">
        <v>73</v>
      </c>
      <c r="N88" s="22"/>
      <c r="O88" s="22"/>
      <c r="P88" s="22"/>
      <c r="Q88" s="22"/>
      <c r="R88" s="22"/>
      <c r="S88" s="22"/>
      <c r="T88" s="22"/>
      <c r="U88" s="22"/>
      <c r="V88" s="19"/>
      <c r="W88" s="34" t="s">
        <v>410</v>
      </c>
      <c r="X88" s="34"/>
      <c r="Y88" s="22" t="s">
        <v>411</v>
      </c>
      <c r="Z88" s="10" t="s">
        <v>309</v>
      </c>
    </row>
    <row r="89" spans="1:55" s="18" customFormat="1" ht="27.6">
      <c r="A89" s="18" t="s">
        <v>313</v>
      </c>
      <c r="B89" s="583">
        <v>45621</v>
      </c>
      <c r="C89" s="18" t="s">
        <v>428</v>
      </c>
      <c r="D89" s="58"/>
      <c r="E89" s="16"/>
      <c r="F89" s="66" t="s">
        <v>431</v>
      </c>
      <c r="G89" s="58"/>
      <c r="H89" s="56"/>
      <c r="I89" s="58"/>
      <c r="J89" s="839"/>
      <c r="K89" s="16"/>
      <c r="L89" s="18" t="s">
        <v>612</v>
      </c>
      <c r="M89" s="16" t="s">
        <v>73</v>
      </c>
      <c r="N89" s="829"/>
      <c r="O89" s="16"/>
      <c r="P89" s="16"/>
      <c r="Q89" s="16"/>
      <c r="R89" s="16"/>
      <c r="S89" s="16"/>
      <c r="T89" s="16"/>
      <c r="U89" s="16"/>
      <c r="W89" s="16">
        <v>2</v>
      </c>
      <c r="X89" s="16"/>
      <c r="Y89" s="16">
        <v>65</v>
      </c>
      <c r="Z89" s="679" t="s">
        <v>427</v>
      </c>
    </row>
    <row r="90" spans="1:55" s="18" customFormat="1" ht="41.4">
      <c r="A90" s="18" t="s">
        <v>433</v>
      </c>
      <c r="B90" s="583">
        <v>45623</v>
      </c>
      <c r="C90" s="18" t="s">
        <v>434</v>
      </c>
      <c r="D90" s="58"/>
      <c r="E90" s="16"/>
      <c r="F90" s="66"/>
      <c r="G90" s="58"/>
      <c r="H90" s="56" t="s">
        <v>683</v>
      </c>
      <c r="I90" s="58"/>
      <c r="J90" s="839"/>
      <c r="K90" s="16"/>
      <c r="L90" s="18" t="s">
        <v>436</v>
      </c>
      <c r="M90" s="16" t="s">
        <v>73</v>
      </c>
      <c r="N90" s="829"/>
      <c r="O90" s="16"/>
      <c r="P90" s="16"/>
      <c r="Q90" s="16"/>
      <c r="R90" s="16"/>
      <c r="S90" s="16"/>
      <c r="T90" s="16"/>
      <c r="U90" s="16"/>
      <c r="W90" s="16"/>
      <c r="X90" s="16"/>
      <c r="Y90" s="16"/>
      <c r="Z90" s="679" t="s">
        <v>435</v>
      </c>
    </row>
    <row r="91" spans="1:55" s="18" customFormat="1" ht="41.4">
      <c r="A91" s="18" t="s">
        <v>433</v>
      </c>
      <c r="B91" s="583">
        <v>45623</v>
      </c>
      <c r="C91" s="18" t="s">
        <v>437</v>
      </c>
      <c r="D91" s="58"/>
      <c r="E91" s="16"/>
      <c r="F91" s="66"/>
      <c r="G91" s="58"/>
      <c r="H91" s="56" t="s">
        <v>684</v>
      </c>
      <c r="I91" s="58"/>
      <c r="J91" s="839"/>
      <c r="K91" s="16"/>
      <c r="L91" s="18" t="s">
        <v>438</v>
      </c>
      <c r="M91" s="16" t="s">
        <v>73</v>
      </c>
      <c r="N91" s="829"/>
      <c r="O91" s="16"/>
      <c r="P91" s="16"/>
      <c r="Q91" s="16"/>
      <c r="R91" s="16"/>
      <c r="S91" s="16"/>
      <c r="T91" s="16"/>
      <c r="U91" s="16"/>
      <c r="W91" s="16"/>
      <c r="X91" s="16"/>
      <c r="Y91" s="16"/>
      <c r="Z91" s="679"/>
    </row>
    <row r="92" spans="1:55" s="528" customFormat="1" ht="55.2">
      <c r="A92" s="528" t="s">
        <v>1840</v>
      </c>
      <c r="B92" s="529">
        <v>45623</v>
      </c>
      <c r="C92" s="528" t="s">
        <v>439</v>
      </c>
      <c r="D92" s="251"/>
      <c r="E92" s="530" t="s">
        <v>45</v>
      </c>
      <c r="F92" s="531" t="s">
        <v>1841</v>
      </c>
      <c r="G92" s="251"/>
      <c r="H92" s="532" t="s">
        <v>685</v>
      </c>
      <c r="I92" s="251"/>
      <c r="J92" s="251"/>
      <c r="K92" s="530"/>
      <c r="L92" s="528" t="s">
        <v>440</v>
      </c>
      <c r="M92" s="530" t="s">
        <v>73</v>
      </c>
      <c r="N92" s="530"/>
      <c r="O92" s="530"/>
      <c r="P92" s="530"/>
      <c r="Q92" s="530"/>
      <c r="R92" s="530"/>
      <c r="S92" s="530"/>
      <c r="T92" s="530"/>
      <c r="U92" s="530"/>
      <c r="W92" s="530">
        <v>1</v>
      </c>
      <c r="X92" s="530"/>
      <c r="Y92" s="530">
        <v>60</v>
      </c>
      <c r="Z92" s="532"/>
    </row>
    <row r="93" spans="1:55" s="528" customFormat="1" ht="55.2">
      <c r="A93" s="528" t="s">
        <v>1840</v>
      </c>
      <c r="B93" s="529">
        <v>45623</v>
      </c>
      <c r="C93" s="526" t="s">
        <v>441</v>
      </c>
      <c r="D93" s="251"/>
      <c r="E93" s="530" t="s">
        <v>45</v>
      </c>
      <c r="F93" s="531" t="s">
        <v>1841</v>
      </c>
      <c r="G93" s="251"/>
      <c r="H93" s="532" t="s">
        <v>686</v>
      </c>
      <c r="I93" s="251"/>
      <c r="J93" s="251"/>
      <c r="K93" s="530"/>
      <c r="L93" s="528" t="s">
        <v>442</v>
      </c>
      <c r="M93" s="530" t="s">
        <v>73</v>
      </c>
      <c r="N93" s="530"/>
      <c r="O93" s="530"/>
      <c r="P93" s="530"/>
      <c r="Q93" s="530"/>
      <c r="R93" s="530"/>
      <c r="S93" s="530"/>
      <c r="T93" s="530"/>
      <c r="U93" s="530"/>
      <c r="V93" s="533" t="s">
        <v>1844</v>
      </c>
      <c r="W93" s="530">
        <v>44</v>
      </c>
      <c r="X93" s="530"/>
      <c r="Y93" s="530" t="s">
        <v>1842</v>
      </c>
      <c r="Z93" s="684" t="s">
        <v>1843</v>
      </c>
    </row>
    <row r="94" spans="1:55" s="20" customFormat="1" ht="27.6">
      <c r="A94" s="20" t="s">
        <v>443</v>
      </c>
      <c r="B94" s="88">
        <v>45625</v>
      </c>
      <c r="C94" s="20" t="s">
        <v>444</v>
      </c>
      <c r="D94" s="96"/>
      <c r="E94" s="16" t="s">
        <v>45</v>
      </c>
      <c r="F94" s="88" t="s">
        <v>456</v>
      </c>
      <c r="G94" s="96"/>
      <c r="H94" s="62"/>
      <c r="I94" s="96" t="s">
        <v>446</v>
      </c>
      <c r="J94" s="839">
        <v>4544153884</v>
      </c>
      <c r="K94" s="89" t="s">
        <v>445</v>
      </c>
      <c r="L94" s="89" t="s">
        <v>448</v>
      </c>
      <c r="M94" s="22" t="s">
        <v>73</v>
      </c>
      <c r="N94" s="22"/>
      <c r="O94" s="22"/>
      <c r="P94" s="22"/>
      <c r="Q94" s="22"/>
      <c r="R94" s="22"/>
      <c r="S94" s="22"/>
      <c r="T94" s="22"/>
      <c r="U94" s="22"/>
      <c r="V94" s="168" t="s">
        <v>1846</v>
      </c>
      <c r="W94" s="22">
        <v>4</v>
      </c>
      <c r="X94" s="22"/>
      <c r="Y94" s="22">
        <v>51.5</v>
      </c>
      <c r="Z94" s="62" t="s">
        <v>279</v>
      </c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</row>
    <row r="95" spans="1:55" s="18" customFormat="1" ht="41.4">
      <c r="A95" s="18" t="s">
        <v>451</v>
      </c>
      <c r="B95" s="583">
        <v>45629</v>
      </c>
      <c r="C95" s="18" t="s">
        <v>449</v>
      </c>
      <c r="D95" s="58"/>
      <c r="E95" s="30"/>
      <c r="F95" s="66"/>
      <c r="G95" s="58"/>
      <c r="H95" s="56" t="s">
        <v>471</v>
      </c>
      <c r="I95" s="58"/>
      <c r="J95" s="263">
        <v>21302</v>
      </c>
      <c r="K95" s="18" t="s">
        <v>450</v>
      </c>
      <c r="M95" s="16" t="s">
        <v>73</v>
      </c>
      <c r="N95" s="829"/>
      <c r="O95" s="16"/>
      <c r="P95" s="16"/>
      <c r="Q95" s="16"/>
      <c r="R95" s="16"/>
      <c r="S95" s="16"/>
      <c r="T95" s="16"/>
      <c r="U95" s="16"/>
      <c r="V95" s="527" t="s">
        <v>1845</v>
      </c>
      <c r="W95" s="16"/>
      <c r="X95" s="16"/>
      <c r="Y95" s="16"/>
      <c r="Z95" s="679" t="s">
        <v>470</v>
      </c>
    </row>
    <row r="96" spans="1:55" s="18" customFormat="1" ht="27.6">
      <c r="A96" s="18" t="s">
        <v>451</v>
      </c>
      <c r="B96" s="583">
        <v>45629</v>
      </c>
      <c r="C96" s="18" t="s">
        <v>452</v>
      </c>
      <c r="D96" s="58"/>
      <c r="E96" s="16"/>
      <c r="F96" s="66"/>
      <c r="G96" s="58"/>
      <c r="H96" s="56"/>
      <c r="I96" s="58" t="s">
        <v>454</v>
      </c>
      <c r="J96" s="839" t="s">
        <v>455</v>
      </c>
      <c r="K96" s="18" t="s">
        <v>453</v>
      </c>
      <c r="M96" s="16" t="s">
        <v>73</v>
      </c>
      <c r="N96" s="829"/>
      <c r="O96" s="16"/>
      <c r="P96" s="16"/>
      <c r="Q96" s="16"/>
      <c r="R96" s="16"/>
      <c r="S96" s="16"/>
      <c r="T96" s="16"/>
      <c r="U96" s="16"/>
      <c r="W96" s="16"/>
      <c r="X96" s="16"/>
      <c r="Y96" s="16"/>
      <c r="Z96" s="679"/>
    </row>
    <row r="97" spans="1:55" s="20" customFormat="1" ht="27.6">
      <c r="A97" s="20" t="s">
        <v>484</v>
      </c>
      <c r="B97" s="88">
        <v>45631</v>
      </c>
      <c r="C97" s="20" t="s">
        <v>512</v>
      </c>
      <c r="D97" s="96" t="s">
        <v>480</v>
      </c>
      <c r="E97" s="22" t="s">
        <v>45</v>
      </c>
      <c r="F97" s="88" t="s">
        <v>483</v>
      </c>
      <c r="G97" s="96"/>
      <c r="H97" s="62" t="s">
        <v>460</v>
      </c>
      <c r="I97" s="96" t="s">
        <v>459</v>
      </c>
      <c r="J97" s="96">
        <v>4544626474</v>
      </c>
      <c r="L97" s="20" t="s">
        <v>482</v>
      </c>
      <c r="M97" s="22" t="s">
        <v>73</v>
      </c>
      <c r="N97" s="22"/>
      <c r="O97" s="22"/>
      <c r="P97" s="22"/>
      <c r="Q97" s="22"/>
      <c r="R97" s="22"/>
      <c r="S97" s="22"/>
      <c r="T97" s="22"/>
      <c r="U97" s="22"/>
      <c r="W97" s="22">
        <v>11</v>
      </c>
      <c r="X97" s="22"/>
      <c r="Y97" s="22">
        <v>171</v>
      </c>
      <c r="Z97" s="679" t="s">
        <v>279</v>
      </c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8" spans="1:55" s="18" customFormat="1" ht="27.6">
      <c r="A98" s="18" t="s">
        <v>184</v>
      </c>
      <c r="B98" s="583">
        <v>45637</v>
      </c>
      <c r="C98" s="18" t="s">
        <v>461</v>
      </c>
      <c r="D98" s="130"/>
      <c r="E98" s="16" t="s">
        <v>45</v>
      </c>
      <c r="F98" s="66" t="s">
        <v>466</v>
      </c>
      <c r="G98" s="58"/>
      <c r="H98" s="56" t="s">
        <v>463</v>
      </c>
      <c r="I98" s="58">
        <v>4542956815</v>
      </c>
      <c r="J98" s="839">
        <v>4544357504</v>
      </c>
      <c r="K98" s="18" t="s">
        <v>462</v>
      </c>
      <c r="L98" s="18" t="s">
        <v>613</v>
      </c>
      <c r="M98" s="16" t="s">
        <v>73</v>
      </c>
      <c r="N98" s="829"/>
      <c r="O98" s="16"/>
      <c r="P98" s="16"/>
      <c r="Q98" s="16"/>
      <c r="R98" s="16"/>
      <c r="S98" s="16"/>
      <c r="T98" s="16"/>
      <c r="U98" s="16"/>
      <c r="W98" s="16">
        <v>3</v>
      </c>
      <c r="X98" s="16"/>
      <c r="Y98" s="16">
        <v>222</v>
      </c>
      <c r="Z98" s="61" t="s">
        <v>122</v>
      </c>
    </row>
    <row r="99" spans="1:55" s="18" customFormat="1" ht="27.6">
      <c r="A99" s="40" t="s">
        <v>556</v>
      </c>
      <c r="B99" s="583">
        <v>45637</v>
      </c>
      <c r="C99" s="18" t="s">
        <v>465</v>
      </c>
      <c r="D99" s="58" t="s">
        <v>142</v>
      </c>
      <c r="E99" s="16" t="s">
        <v>45</v>
      </c>
      <c r="F99" s="66" t="s">
        <v>466</v>
      </c>
      <c r="G99" s="58"/>
      <c r="H99" s="56" t="s">
        <v>464</v>
      </c>
      <c r="I99" s="58">
        <v>4543643396</v>
      </c>
      <c r="J99" s="839">
        <v>4544245653</v>
      </c>
      <c r="K99" s="18" t="s">
        <v>467</v>
      </c>
      <c r="M99" s="16" t="s">
        <v>73</v>
      </c>
      <c r="N99" s="829"/>
      <c r="O99" s="16"/>
      <c r="P99" s="16"/>
      <c r="Q99" s="16"/>
      <c r="R99" s="16"/>
      <c r="S99" s="16"/>
      <c r="T99" s="16"/>
      <c r="U99" s="16"/>
      <c r="W99" s="16">
        <v>2</v>
      </c>
      <c r="X99" s="16"/>
      <c r="Y99" s="16">
        <v>66</v>
      </c>
      <c r="Z99" s="679" t="s">
        <v>279</v>
      </c>
    </row>
    <row r="100" spans="1:55" s="20" customFormat="1" ht="41.4">
      <c r="A100" s="20" t="s">
        <v>518</v>
      </c>
      <c r="B100" s="88">
        <v>45638</v>
      </c>
      <c r="C100" s="20" t="s">
        <v>468</v>
      </c>
      <c r="D100" s="96"/>
      <c r="E100" s="22" t="s">
        <v>45</v>
      </c>
      <c r="F100" s="88" t="s">
        <v>473</v>
      </c>
      <c r="G100" s="96"/>
      <c r="H100" s="62"/>
      <c r="I100" s="96"/>
      <c r="J100" s="96">
        <v>4544780064</v>
      </c>
      <c r="K100" s="20" t="s">
        <v>469</v>
      </c>
      <c r="L100" s="20" t="s">
        <v>472</v>
      </c>
      <c r="M100" s="22" t="s">
        <v>73</v>
      </c>
      <c r="N100" s="22"/>
      <c r="O100" s="22"/>
      <c r="P100" s="22"/>
      <c r="Q100" s="22"/>
      <c r="R100" s="22"/>
      <c r="S100" s="22"/>
      <c r="T100" s="22"/>
      <c r="U100" s="22"/>
      <c r="W100" s="22">
        <v>1</v>
      </c>
      <c r="X100" s="22"/>
      <c r="Y100" s="22">
        <v>711</v>
      </c>
      <c r="Z100" s="62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</row>
    <row r="101" spans="1:55" s="18" customFormat="1" ht="27.6">
      <c r="A101" s="18" t="s">
        <v>98</v>
      </c>
      <c r="B101" s="583">
        <v>45643</v>
      </c>
      <c r="C101" s="18" t="s">
        <v>687</v>
      </c>
      <c r="D101" s="58"/>
      <c r="E101" s="16" t="s">
        <v>45</v>
      </c>
      <c r="F101" s="66" t="s">
        <v>483</v>
      </c>
      <c r="G101" s="58"/>
      <c r="H101" s="56"/>
      <c r="I101" s="58" t="s">
        <v>474</v>
      </c>
      <c r="J101" s="839">
        <v>4544470963</v>
      </c>
      <c r="K101" s="18" t="s">
        <v>475</v>
      </c>
      <c r="L101" s="18" t="s">
        <v>485</v>
      </c>
      <c r="M101" s="16" t="s">
        <v>73</v>
      </c>
      <c r="N101" s="829"/>
      <c r="O101" s="16"/>
      <c r="P101" s="16"/>
      <c r="Q101" s="16"/>
      <c r="R101" s="16"/>
      <c r="S101" s="16"/>
      <c r="T101" s="16"/>
      <c r="U101" s="16"/>
      <c r="W101" s="16">
        <v>6</v>
      </c>
      <c r="X101" s="16"/>
      <c r="Y101" s="16">
        <v>470</v>
      </c>
      <c r="Z101" s="679" t="s">
        <v>279</v>
      </c>
    </row>
    <row r="102" spans="1:55" s="18" customFormat="1" ht="27.6">
      <c r="A102" s="18" t="s">
        <v>98</v>
      </c>
      <c r="B102" s="583">
        <v>45643</v>
      </c>
      <c r="C102" s="18" t="s">
        <v>695</v>
      </c>
      <c r="D102" s="58"/>
      <c r="E102" s="16" t="s">
        <v>45</v>
      </c>
      <c r="F102" s="66" t="s">
        <v>514</v>
      </c>
      <c r="G102" s="58" t="s">
        <v>583</v>
      </c>
      <c r="H102" s="56"/>
      <c r="I102" s="58" t="s">
        <v>476</v>
      </c>
      <c r="J102" s="839" t="s">
        <v>643</v>
      </c>
      <c r="K102" s="18" t="s">
        <v>477</v>
      </c>
      <c r="L102" s="18" t="s">
        <v>513</v>
      </c>
      <c r="M102" s="16" t="s">
        <v>73</v>
      </c>
      <c r="N102" s="829"/>
      <c r="O102" s="16"/>
      <c r="P102" s="16"/>
      <c r="Q102" s="16"/>
      <c r="R102" s="16"/>
      <c r="S102" s="16"/>
      <c r="T102" s="16"/>
      <c r="U102" s="16"/>
      <c r="W102" s="16">
        <v>4</v>
      </c>
      <c r="X102" s="16"/>
      <c r="Y102" s="16">
        <v>131</v>
      </c>
      <c r="Z102" s="679" t="s">
        <v>279</v>
      </c>
    </row>
    <row r="103" spans="1:55" s="18" customFormat="1" ht="27.6">
      <c r="A103" s="18" t="s">
        <v>98</v>
      </c>
      <c r="B103" s="583">
        <v>45643</v>
      </c>
      <c r="C103" s="18" t="s">
        <v>688</v>
      </c>
      <c r="D103" s="58" t="s">
        <v>489</v>
      </c>
      <c r="E103" s="16" t="s">
        <v>45</v>
      </c>
      <c r="F103" s="66" t="s">
        <v>495</v>
      </c>
      <c r="G103" s="58"/>
      <c r="H103" s="56"/>
      <c r="I103" s="58" t="s">
        <v>479</v>
      </c>
      <c r="J103" s="839"/>
      <c r="K103" s="18" t="s">
        <v>478</v>
      </c>
      <c r="M103" s="16" t="s">
        <v>73</v>
      </c>
      <c r="N103" s="829"/>
      <c r="O103" s="16"/>
      <c r="P103" s="16"/>
      <c r="Q103" s="16"/>
      <c r="R103" s="16"/>
      <c r="S103" s="16"/>
      <c r="T103" s="16"/>
      <c r="U103" s="16"/>
      <c r="W103" s="16"/>
      <c r="X103" s="16"/>
      <c r="Y103" s="16"/>
      <c r="Z103" s="679"/>
    </row>
    <row r="104" spans="1:55" s="18" customFormat="1" ht="41.4">
      <c r="A104" s="18" t="s">
        <v>98</v>
      </c>
      <c r="B104" s="583">
        <v>45643</v>
      </c>
      <c r="C104" s="18" t="s">
        <v>689</v>
      </c>
      <c r="D104" s="58"/>
      <c r="E104" s="16" t="s">
        <v>45</v>
      </c>
      <c r="F104" s="66" t="s">
        <v>483</v>
      </c>
      <c r="G104" s="58"/>
      <c r="H104" s="56"/>
      <c r="I104" s="58"/>
      <c r="J104" s="839">
        <v>4544596558</v>
      </c>
      <c r="K104" s="18" t="s">
        <v>481</v>
      </c>
      <c r="L104" s="18" t="s">
        <v>486</v>
      </c>
      <c r="M104" s="16" t="s">
        <v>73</v>
      </c>
      <c r="N104" s="829"/>
      <c r="O104" s="16"/>
      <c r="P104" s="16"/>
      <c r="Q104" s="16"/>
      <c r="R104" s="16"/>
      <c r="S104" s="16"/>
      <c r="T104" s="16"/>
      <c r="U104" s="16"/>
      <c r="W104" s="16">
        <v>3</v>
      </c>
      <c r="X104" s="16" t="s">
        <v>770</v>
      </c>
      <c r="Y104" s="16">
        <v>213</v>
      </c>
      <c r="Z104" s="679"/>
    </row>
    <row r="105" spans="1:55" s="18" customFormat="1" ht="27.6">
      <c r="A105" s="18" t="s">
        <v>98</v>
      </c>
      <c r="B105" s="583">
        <v>45644</v>
      </c>
      <c r="C105" s="18" t="s">
        <v>690</v>
      </c>
      <c r="D105" s="58" t="s">
        <v>489</v>
      </c>
      <c r="E105" s="16" t="s">
        <v>45</v>
      </c>
      <c r="F105" s="66" t="s">
        <v>514</v>
      </c>
      <c r="G105" s="58"/>
      <c r="H105" s="56" t="s">
        <v>487</v>
      </c>
      <c r="I105" s="58">
        <v>4542689780</v>
      </c>
      <c r="J105" s="839">
        <v>4544649468</v>
      </c>
      <c r="K105" s="18" t="s">
        <v>488</v>
      </c>
      <c r="L105" s="18" t="s">
        <v>517</v>
      </c>
      <c r="M105" s="16" t="s">
        <v>73</v>
      </c>
      <c r="N105" s="829"/>
      <c r="O105" s="16"/>
      <c r="P105" s="16"/>
      <c r="Q105" s="16"/>
      <c r="R105" s="16"/>
      <c r="S105" s="16"/>
      <c r="T105" s="16"/>
      <c r="U105" s="16"/>
      <c r="W105" s="16">
        <v>3</v>
      </c>
      <c r="X105" s="16"/>
      <c r="Y105" s="16">
        <v>105</v>
      </c>
      <c r="Z105" s="679"/>
    </row>
    <row r="106" spans="1:55" s="18" customFormat="1" ht="27.6">
      <c r="A106" s="18" t="s">
        <v>519</v>
      </c>
      <c r="B106" s="583">
        <v>45645</v>
      </c>
      <c r="C106" s="18" t="s">
        <v>491</v>
      </c>
      <c r="D106" s="58"/>
      <c r="E106" s="16" t="s">
        <v>45</v>
      </c>
      <c r="F106" s="66" t="s">
        <v>514</v>
      </c>
      <c r="G106" s="58"/>
      <c r="H106" s="56"/>
      <c r="I106" s="58"/>
      <c r="J106" s="839" t="s">
        <v>535</v>
      </c>
      <c r="L106" s="56" t="s">
        <v>516</v>
      </c>
      <c r="M106" s="16" t="s">
        <v>73</v>
      </c>
      <c r="N106" s="829"/>
      <c r="O106" s="16"/>
      <c r="P106" s="16"/>
      <c r="Q106" s="16"/>
      <c r="R106" s="16"/>
      <c r="S106" s="16"/>
      <c r="T106" s="16"/>
      <c r="U106" s="16"/>
      <c r="W106" s="16">
        <v>8</v>
      </c>
      <c r="X106" s="16"/>
      <c r="Y106" s="16">
        <v>291</v>
      </c>
      <c r="Z106" s="679" t="s">
        <v>490</v>
      </c>
    </row>
    <row r="107" spans="1:55" s="18" customFormat="1" ht="27.6">
      <c r="A107" s="18" t="s">
        <v>519</v>
      </c>
      <c r="B107" s="583">
        <v>45645</v>
      </c>
      <c r="C107" s="18" t="s">
        <v>492</v>
      </c>
      <c r="D107" s="58"/>
      <c r="E107" s="16" t="s">
        <v>45</v>
      </c>
      <c r="F107" s="66" t="s">
        <v>514</v>
      </c>
      <c r="G107" s="58"/>
      <c r="H107" s="56"/>
      <c r="I107" s="58"/>
      <c r="J107" s="839" t="s">
        <v>534</v>
      </c>
      <c r="L107" s="56" t="s">
        <v>515</v>
      </c>
      <c r="M107" s="16" t="s">
        <v>73</v>
      </c>
      <c r="N107" s="829"/>
      <c r="O107" s="16"/>
      <c r="P107" s="16"/>
      <c r="Q107" s="16"/>
      <c r="R107" s="16"/>
      <c r="S107" s="16"/>
      <c r="T107" s="16"/>
      <c r="U107" s="16"/>
      <c r="W107" s="16">
        <v>4</v>
      </c>
      <c r="X107" s="16"/>
      <c r="Y107" s="16">
        <v>239</v>
      </c>
      <c r="Z107" s="679" t="s">
        <v>490</v>
      </c>
    </row>
    <row r="108" spans="1:55" s="18" customFormat="1" ht="41.4">
      <c r="A108" s="18" t="s">
        <v>498</v>
      </c>
      <c r="B108" s="583">
        <v>45646</v>
      </c>
      <c r="C108" s="18" t="s">
        <v>493</v>
      </c>
      <c r="D108" s="60"/>
      <c r="E108" s="16"/>
      <c r="F108" s="66"/>
      <c r="G108" s="58"/>
      <c r="H108" s="56"/>
      <c r="I108" s="58" t="s">
        <v>500</v>
      </c>
      <c r="J108" s="839"/>
      <c r="K108" s="18" t="s">
        <v>494</v>
      </c>
      <c r="L108" s="56"/>
      <c r="M108" s="16" t="s">
        <v>73</v>
      </c>
      <c r="N108" s="829"/>
      <c r="O108" s="16"/>
      <c r="P108" s="16"/>
      <c r="Q108" s="16"/>
      <c r="R108" s="16"/>
      <c r="S108" s="16"/>
      <c r="T108" s="16"/>
      <c r="U108" s="16"/>
      <c r="W108" s="16"/>
      <c r="X108" s="16"/>
      <c r="Y108" s="16"/>
      <c r="Z108" s="679"/>
    </row>
    <row r="109" spans="1:55" s="18" customFormat="1">
      <c r="A109" s="18" t="s">
        <v>98</v>
      </c>
      <c r="B109" s="583">
        <v>45646</v>
      </c>
      <c r="C109" s="18" t="s">
        <v>688</v>
      </c>
      <c r="D109" s="58"/>
      <c r="E109" s="16" t="s">
        <v>45</v>
      </c>
      <c r="F109" s="66">
        <v>45646</v>
      </c>
      <c r="G109" s="58"/>
      <c r="H109" s="56" t="s">
        <v>497</v>
      </c>
      <c r="I109" s="58">
        <v>4543910447</v>
      </c>
      <c r="J109" s="839">
        <v>4544470829</v>
      </c>
      <c r="L109" s="18" t="s">
        <v>496</v>
      </c>
      <c r="M109" s="16" t="s">
        <v>73</v>
      </c>
      <c r="N109" s="829"/>
      <c r="O109" s="16"/>
      <c r="P109" s="16"/>
      <c r="Q109" s="16"/>
      <c r="R109" s="16"/>
      <c r="S109" s="16"/>
      <c r="T109" s="16"/>
      <c r="U109" s="16"/>
      <c r="W109" s="16">
        <v>8</v>
      </c>
      <c r="X109" s="16"/>
      <c r="Y109" s="16">
        <v>609</v>
      </c>
      <c r="Z109" s="679" t="s">
        <v>279</v>
      </c>
    </row>
    <row r="110" spans="1:55" s="11" customFormat="1" ht="55.2">
      <c r="A110" s="18" t="s">
        <v>498</v>
      </c>
      <c r="B110" s="583">
        <v>45646</v>
      </c>
      <c r="C110" s="18" t="s">
        <v>499</v>
      </c>
      <c r="D110" s="60"/>
      <c r="E110" s="16" t="s">
        <v>45</v>
      </c>
      <c r="F110" s="64"/>
      <c r="G110" s="57" t="s">
        <v>583</v>
      </c>
      <c r="H110" s="56" t="s">
        <v>694</v>
      </c>
      <c r="I110" s="58" t="s">
        <v>500</v>
      </c>
      <c r="J110" s="360" t="s">
        <v>420</v>
      </c>
      <c r="K110" s="18" t="s">
        <v>692</v>
      </c>
      <c r="L110" s="11" t="s">
        <v>614</v>
      </c>
      <c r="M110" s="7" t="s">
        <v>73</v>
      </c>
      <c r="N110" s="829"/>
      <c r="O110" s="16"/>
      <c r="P110" s="16"/>
      <c r="Q110" s="16"/>
      <c r="R110" s="16"/>
      <c r="S110" s="16"/>
      <c r="T110" s="16"/>
      <c r="U110" s="16"/>
      <c r="W110" s="7"/>
      <c r="X110" s="7"/>
      <c r="Y110" s="16"/>
      <c r="Z110" s="6"/>
    </row>
    <row r="111" spans="1:55" s="11" customFormat="1" ht="55.2">
      <c r="A111" s="18" t="s">
        <v>498</v>
      </c>
      <c r="B111" s="583">
        <v>45646</v>
      </c>
      <c r="C111" s="18" t="s">
        <v>502</v>
      </c>
      <c r="D111" s="58"/>
      <c r="E111" s="16" t="s">
        <v>45</v>
      </c>
      <c r="F111" s="64"/>
      <c r="G111" s="57" t="s">
        <v>693</v>
      </c>
      <c r="H111" s="56" t="s">
        <v>501</v>
      </c>
      <c r="I111" s="57"/>
      <c r="J111" s="360" t="s">
        <v>421</v>
      </c>
      <c r="K111" s="18"/>
      <c r="L111" s="11" t="s">
        <v>615</v>
      </c>
      <c r="M111" s="7" t="s">
        <v>73</v>
      </c>
      <c r="N111" s="829"/>
      <c r="O111" s="16"/>
      <c r="P111" s="16"/>
      <c r="Q111" s="16"/>
      <c r="R111" s="16"/>
      <c r="S111" s="16"/>
      <c r="T111" s="16"/>
      <c r="U111" s="16"/>
      <c r="W111" s="7"/>
      <c r="X111" s="7"/>
      <c r="Y111" s="16"/>
      <c r="Z111" s="6"/>
    </row>
    <row r="112" spans="1:55" s="11" customFormat="1" ht="40.5" customHeight="1">
      <c r="A112" s="20" t="s">
        <v>498</v>
      </c>
      <c r="B112" s="583">
        <v>45646</v>
      </c>
      <c r="C112" s="18" t="s">
        <v>599</v>
      </c>
      <c r="D112" s="96"/>
      <c r="E112" s="16" t="s">
        <v>45</v>
      </c>
      <c r="F112" s="64"/>
      <c r="G112" s="57"/>
      <c r="H112" s="56" t="s">
        <v>503</v>
      </c>
      <c r="I112" s="57"/>
      <c r="J112" s="360" t="s">
        <v>422</v>
      </c>
      <c r="K112" s="56" t="s">
        <v>616</v>
      </c>
      <c r="L112" s="11" t="s">
        <v>617</v>
      </c>
      <c r="M112" s="7" t="s">
        <v>73</v>
      </c>
      <c r="N112" s="829"/>
      <c r="O112" s="16"/>
      <c r="P112" s="16"/>
      <c r="Q112" s="16"/>
      <c r="R112" s="16"/>
      <c r="S112" s="16"/>
      <c r="T112" s="16"/>
      <c r="U112" s="16"/>
      <c r="W112" s="7"/>
      <c r="X112" s="7"/>
      <c r="Y112" s="16"/>
      <c r="Z112" s="6"/>
    </row>
    <row r="113" spans="1:55" s="76" customFormat="1" ht="27.6">
      <c r="A113" s="18" t="s">
        <v>98</v>
      </c>
      <c r="B113" s="100">
        <v>45659</v>
      </c>
      <c r="C113" s="76" t="s">
        <v>504</v>
      </c>
      <c r="D113" s="58" t="s">
        <v>531</v>
      </c>
      <c r="E113" s="30" t="s">
        <v>45</v>
      </c>
      <c r="F113" s="100">
        <v>45659</v>
      </c>
      <c r="G113" s="263"/>
      <c r="H113" s="61"/>
      <c r="I113" s="263" t="s">
        <v>505</v>
      </c>
      <c r="J113" s="263">
        <v>4544494498</v>
      </c>
      <c r="K113" s="61" t="s">
        <v>506</v>
      </c>
      <c r="M113" s="30" t="s">
        <v>73</v>
      </c>
      <c r="N113" s="825"/>
      <c r="O113" s="30"/>
      <c r="P113" s="30"/>
      <c r="Q113" s="30"/>
      <c r="R113" s="30"/>
      <c r="S113" s="30"/>
      <c r="T113" s="30"/>
      <c r="U113" s="30"/>
      <c r="W113" s="30">
        <v>1</v>
      </c>
      <c r="X113" s="30">
        <v>13.76</v>
      </c>
      <c r="Y113" s="30">
        <v>63</v>
      </c>
      <c r="Z113" s="61" t="s">
        <v>279</v>
      </c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</row>
    <row r="114" spans="1:55" s="18" customFormat="1" ht="55.2">
      <c r="A114" s="18" t="s">
        <v>522</v>
      </c>
      <c r="B114" s="583">
        <v>45665</v>
      </c>
      <c r="C114" s="18" t="s">
        <v>521</v>
      </c>
      <c r="D114" s="58" t="s">
        <v>530</v>
      </c>
      <c r="E114" s="16" t="s">
        <v>45</v>
      </c>
      <c r="F114" s="66">
        <v>45665</v>
      </c>
      <c r="G114" s="58"/>
      <c r="H114" s="56"/>
      <c r="I114" s="58" t="s">
        <v>523</v>
      </c>
      <c r="J114" s="839">
        <v>4544504893</v>
      </c>
      <c r="K114" s="95" t="s">
        <v>524</v>
      </c>
      <c r="M114" s="16" t="s">
        <v>73</v>
      </c>
      <c r="N114" s="829"/>
      <c r="O114" s="16"/>
      <c r="P114" s="16"/>
      <c r="Q114" s="16"/>
      <c r="R114" s="16"/>
      <c r="S114" s="16"/>
      <c r="T114" s="16"/>
      <c r="U114" s="16"/>
      <c r="W114" s="16">
        <v>1</v>
      </c>
      <c r="X114" s="16"/>
      <c r="Y114" s="16">
        <v>291</v>
      </c>
      <c r="Z114" s="679" t="s">
        <v>309</v>
      </c>
    </row>
    <row r="115" spans="1:55" s="18" customFormat="1" ht="27.6">
      <c r="A115" s="18" t="s">
        <v>522</v>
      </c>
      <c r="B115" s="583">
        <v>45665</v>
      </c>
      <c r="C115" s="18" t="s">
        <v>525</v>
      </c>
      <c r="D115" s="58" t="s">
        <v>142</v>
      </c>
      <c r="E115" s="16" t="s">
        <v>45</v>
      </c>
      <c r="F115" s="66">
        <v>45671</v>
      </c>
      <c r="G115" s="58"/>
      <c r="H115" s="56"/>
      <c r="I115" s="58" t="s">
        <v>527</v>
      </c>
      <c r="J115" s="839">
        <v>4544494498</v>
      </c>
      <c r="K115" s="95" t="s">
        <v>526</v>
      </c>
      <c r="M115" s="16" t="s">
        <v>73</v>
      </c>
      <c r="N115" s="829"/>
      <c r="O115" s="16"/>
      <c r="P115" s="16"/>
      <c r="Q115" s="16"/>
      <c r="R115" s="16"/>
      <c r="S115" s="16"/>
      <c r="T115" s="16"/>
      <c r="U115" s="16"/>
      <c r="W115" s="16">
        <v>2</v>
      </c>
      <c r="X115" s="16"/>
      <c r="Y115" s="16">
        <v>82</v>
      </c>
      <c r="Z115" s="679" t="s">
        <v>309</v>
      </c>
    </row>
    <row r="116" spans="1:55" s="18" customFormat="1" ht="41.4">
      <c r="A116" s="18" t="s">
        <v>98</v>
      </c>
      <c r="B116" s="583">
        <v>45665</v>
      </c>
      <c r="C116" s="18" t="s">
        <v>528</v>
      </c>
      <c r="D116" s="58"/>
      <c r="E116" s="16" t="s">
        <v>45</v>
      </c>
      <c r="F116" s="66">
        <v>45665</v>
      </c>
      <c r="G116" s="58"/>
      <c r="H116" s="56"/>
      <c r="I116" s="58"/>
      <c r="J116" s="839" t="s">
        <v>588</v>
      </c>
      <c r="K116" s="56" t="s">
        <v>529</v>
      </c>
      <c r="L116" s="40"/>
      <c r="M116" s="16" t="s">
        <v>73</v>
      </c>
      <c r="N116" s="829"/>
      <c r="O116" s="16"/>
      <c r="P116" s="16"/>
      <c r="Q116" s="16"/>
      <c r="R116" s="16"/>
      <c r="S116" s="16"/>
      <c r="T116" s="16"/>
      <c r="U116" s="16"/>
      <c r="W116" s="16">
        <v>1</v>
      </c>
      <c r="X116" s="16"/>
      <c r="Y116" s="16">
        <v>74</v>
      </c>
      <c r="Z116" s="679" t="s">
        <v>279</v>
      </c>
    </row>
    <row r="117" spans="1:55" s="18" customFormat="1" ht="41.4">
      <c r="A117" s="20" t="s">
        <v>98</v>
      </c>
      <c r="B117" s="88">
        <v>45667</v>
      </c>
      <c r="C117" s="20" t="s">
        <v>533</v>
      </c>
      <c r="D117" s="96"/>
      <c r="E117" s="22"/>
      <c r="F117" s="88">
        <v>45667</v>
      </c>
      <c r="G117" s="96"/>
      <c r="H117" s="62"/>
      <c r="I117" s="96">
        <v>4543182113</v>
      </c>
      <c r="J117" s="96"/>
      <c r="K117" s="62" t="s">
        <v>532</v>
      </c>
      <c r="L117" s="41"/>
      <c r="M117" s="22" t="s">
        <v>73</v>
      </c>
      <c r="N117" s="22"/>
      <c r="O117" s="22"/>
      <c r="P117" s="22"/>
      <c r="Q117" s="22"/>
      <c r="R117" s="22"/>
      <c r="S117" s="22"/>
      <c r="T117" s="22"/>
      <c r="U117" s="22"/>
      <c r="V117" s="20"/>
      <c r="W117" s="22">
        <v>1</v>
      </c>
      <c r="X117" s="22"/>
      <c r="Y117" s="22">
        <v>61</v>
      </c>
      <c r="Z117" s="62" t="s">
        <v>279</v>
      </c>
    </row>
    <row r="118" spans="1:55" s="18" customFormat="1" ht="27.6">
      <c r="A118" s="18" t="s">
        <v>522</v>
      </c>
      <c r="B118" s="583">
        <v>45671</v>
      </c>
      <c r="C118" s="18" t="s">
        <v>536</v>
      </c>
      <c r="D118" s="58"/>
      <c r="E118" s="16" t="s">
        <v>45</v>
      </c>
      <c r="F118" s="66">
        <v>45671</v>
      </c>
      <c r="G118" s="58"/>
      <c r="H118" s="56">
        <v>640447800</v>
      </c>
      <c r="I118" s="58" t="s">
        <v>538</v>
      </c>
      <c r="J118" s="263">
        <v>4544494498</v>
      </c>
      <c r="K118" s="95" t="s">
        <v>537</v>
      </c>
      <c r="L118" s="40"/>
      <c r="M118" s="16" t="s">
        <v>73</v>
      </c>
      <c r="N118" s="829"/>
      <c r="O118" s="16"/>
      <c r="P118" s="16"/>
      <c r="Q118" s="16"/>
      <c r="R118" s="16"/>
      <c r="S118" s="16"/>
      <c r="T118" s="16"/>
      <c r="U118" s="16"/>
      <c r="W118" s="16">
        <v>1</v>
      </c>
      <c r="X118" s="16">
        <v>27.94</v>
      </c>
      <c r="Y118" s="16">
        <v>77</v>
      </c>
      <c r="Z118" s="679" t="s">
        <v>309</v>
      </c>
    </row>
    <row r="119" spans="1:55" s="18" customFormat="1" ht="41.4">
      <c r="A119" s="18" t="s">
        <v>522</v>
      </c>
      <c r="B119" s="583">
        <v>45671</v>
      </c>
      <c r="C119" s="18" t="s">
        <v>539</v>
      </c>
      <c r="D119" s="58" t="s">
        <v>142</v>
      </c>
      <c r="E119" s="16" t="s">
        <v>45</v>
      </c>
      <c r="F119" s="66">
        <v>45671</v>
      </c>
      <c r="G119" s="58"/>
      <c r="H119" s="56" t="s">
        <v>541</v>
      </c>
      <c r="I119" s="58" t="s">
        <v>542</v>
      </c>
      <c r="J119" s="839">
        <v>4544494498</v>
      </c>
      <c r="K119" s="95" t="s">
        <v>540</v>
      </c>
      <c r="L119" s="40"/>
      <c r="M119" s="16" t="s">
        <v>73</v>
      </c>
      <c r="N119" s="829"/>
      <c r="O119" s="16"/>
      <c r="P119" s="16"/>
      <c r="Q119" s="16"/>
      <c r="R119" s="16"/>
      <c r="S119" s="16"/>
      <c r="T119" s="16"/>
      <c r="U119" s="16"/>
      <c r="W119" s="16">
        <v>5</v>
      </c>
      <c r="X119" s="16"/>
      <c r="Y119" s="16">
        <v>117</v>
      </c>
      <c r="Z119" s="679" t="s">
        <v>309</v>
      </c>
    </row>
    <row r="120" spans="1:55" s="18" customFormat="1" ht="41.4">
      <c r="A120" s="18" t="s">
        <v>544</v>
      </c>
      <c r="B120" s="583">
        <v>45672</v>
      </c>
      <c r="C120" s="18" t="s">
        <v>543</v>
      </c>
      <c r="D120" s="58"/>
      <c r="E120" s="16" t="s">
        <v>45</v>
      </c>
      <c r="F120" s="66">
        <v>45672</v>
      </c>
      <c r="G120" s="58"/>
      <c r="H120" s="56"/>
      <c r="I120" s="58"/>
      <c r="J120" s="839"/>
      <c r="K120" s="95" t="s">
        <v>545</v>
      </c>
      <c r="L120" s="18" t="s">
        <v>546</v>
      </c>
      <c r="M120" s="16" t="s">
        <v>73</v>
      </c>
      <c r="N120" s="68"/>
      <c r="O120" s="68"/>
      <c r="P120" s="68"/>
      <c r="Q120" s="68"/>
      <c r="R120" s="68"/>
      <c r="S120" s="68"/>
      <c r="T120" s="68"/>
      <c r="U120" s="68"/>
      <c r="W120" s="16" t="s">
        <v>547</v>
      </c>
      <c r="X120" s="16">
        <v>23.25</v>
      </c>
      <c r="Y120" s="16">
        <v>215</v>
      </c>
      <c r="Z120" s="679"/>
    </row>
    <row r="121" spans="1:55" s="18" customFormat="1" ht="27.6">
      <c r="A121" s="18" t="s">
        <v>522</v>
      </c>
      <c r="B121" s="583">
        <v>45673</v>
      </c>
      <c r="C121" s="18" t="s">
        <v>606</v>
      </c>
      <c r="D121" s="58"/>
      <c r="E121" s="16" t="s">
        <v>45</v>
      </c>
      <c r="F121" s="66">
        <v>45673</v>
      </c>
      <c r="G121" s="58"/>
      <c r="H121" s="56"/>
      <c r="I121" s="58"/>
      <c r="J121" s="839">
        <v>4544596751</v>
      </c>
      <c r="K121" s="56" t="s">
        <v>551</v>
      </c>
      <c r="L121" s="18" t="s">
        <v>481</v>
      </c>
      <c r="M121" s="16" t="s">
        <v>73</v>
      </c>
      <c r="N121" s="829"/>
      <c r="O121" s="16"/>
      <c r="P121" s="16"/>
      <c r="Q121" s="16"/>
      <c r="R121" s="16"/>
      <c r="S121" s="16"/>
      <c r="T121" s="16"/>
      <c r="U121" s="16"/>
      <c r="W121" s="16">
        <v>3</v>
      </c>
      <c r="X121" s="16" t="s">
        <v>770</v>
      </c>
      <c r="Y121" s="16">
        <v>213</v>
      </c>
      <c r="Z121" s="679" t="s">
        <v>309</v>
      </c>
    </row>
    <row r="122" spans="1:55" s="18" customFormat="1" ht="27.6">
      <c r="A122" s="18" t="s">
        <v>522</v>
      </c>
      <c r="B122" s="583">
        <v>45673</v>
      </c>
      <c r="C122" s="18" t="s">
        <v>548</v>
      </c>
      <c r="D122" s="58"/>
      <c r="E122" s="16" t="s">
        <v>45</v>
      </c>
      <c r="F122" s="66">
        <v>45673</v>
      </c>
      <c r="G122" s="58"/>
      <c r="H122" s="56"/>
      <c r="I122" s="58"/>
      <c r="J122" s="839">
        <v>4544596752</v>
      </c>
      <c r="K122" s="56" t="s">
        <v>551</v>
      </c>
      <c r="L122" s="18" t="s">
        <v>481</v>
      </c>
      <c r="M122" s="16" t="s">
        <v>73</v>
      </c>
      <c r="N122" s="829"/>
      <c r="O122" s="16"/>
      <c r="P122" s="16"/>
      <c r="Q122" s="16"/>
      <c r="R122" s="16"/>
      <c r="S122" s="16"/>
      <c r="T122" s="16"/>
      <c r="U122" s="16"/>
      <c r="W122" s="16">
        <v>3</v>
      </c>
      <c r="X122" s="16" t="s">
        <v>770</v>
      </c>
      <c r="Y122" s="16">
        <v>213</v>
      </c>
      <c r="Z122" s="679" t="s">
        <v>309</v>
      </c>
    </row>
    <row r="123" spans="1:55" s="18" customFormat="1" ht="27.6">
      <c r="A123" s="18" t="s">
        <v>522</v>
      </c>
      <c r="B123" s="583">
        <v>45673</v>
      </c>
      <c r="C123" s="18" t="s">
        <v>549</v>
      </c>
      <c r="D123" s="58"/>
      <c r="E123" s="16" t="s">
        <v>45</v>
      </c>
      <c r="F123" s="66">
        <v>45673</v>
      </c>
      <c r="G123" s="58"/>
      <c r="H123" s="56"/>
      <c r="I123" s="58"/>
      <c r="J123" s="839">
        <v>4544596285</v>
      </c>
      <c r="K123" s="56" t="s">
        <v>551</v>
      </c>
      <c r="L123" s="18" t="s">
        <v>481</v>
      </c>
      <c r="M123" s="16" t="s">
        <v>73</v>
      </c>
      <c r="N123" s="829"/>
      <c r="O123" s="16"/>
      <c r="P123" s="16"/>
      <c r="Q123" s="16"/>
      <c r="R123" s="16"/>
      <c r="S123" s="16"/>
      <c r="T123" s="16"/>
      <c r="U123" s="16"/>
      <c r="W123" s="16">
        <v>3</v>
      </c>
      <c r="X123" s="16" t="s">
        <v>770</v>
      </c>
      <c r="Y123" s="16">
        <v>213</v>
      </c>
      <c r="Z123" s="679" t="s">
        <v>309</v>
      </c>
    </row>
    <row r="124" spans="1:55" s="18" customFormat="1" ht="27.6">
      <c r="A124" s="18" t="s">
        <v>522</v>
      </c>
      <c r="B124" s="583">
        <v>45673</v>
      </c>
      <c r="C124" s="18" t="s">
        <v>550</v>
      </c>
      <c r="D124" s="58"/>
      <c r="E124" s="16" t="s">
        <v>45</v>
      </c>
      <c r="F124" s="66">
        <v>45673</v>
      </c>
      <c r="G124" s="58"/>
      <c r="H124" s="56"/>
      <c r="I124" s="58"/>
      <c r="J124" s="839"/>
      <c r="K124" s="56" t="s">
        <v>551</v>
      </c>
      <c r="L124" s="18" t="s">
        <v>481</v>
      </c>
      <c r="M124" s="16" t="s">
        <v>73</v>
      </c>
      <c r="N124" s="829"/>
      <c r="O124" s="16"/>
      <c r="P124" s="16"/>
      <c r="Q124" s="16"/>
      <c r="R124" s="16"/>
      <c r="S124" s="16"/>
      <c r="T124" s="16"/>
      <c r="U124" s="16"/>
      <c r="W124" s="16">
        <v>3</v>
      </c>
      <c r="X124" s="16" t="s">
        <v>770</v>
      </c>
      <c r="Y124" s="16">
        <v>213</v>
      </c>
      <c r="Z124" s="679" t="s">
        <v>309</v>
      </c>
    </row>
    <row r="125" spans="1:55" s="18" customFormat="1" ht="27.6">
      <c r="A125" s="18" t="s">
        <v>98</v>
      </c>
      <c r="B125" s="583">
        <v>45673</v>
      </c>
      <c r="C125" s="18" t="s">
        <v>554</v>
      </c>
      <c r="D125" s="58"/>
      <c r="E125" s="16" t="s">
        <v>45</v>
      </c>
      <c r="F125" s="66">
        <v>45673</v>
      </c>
      <c r="G125" s="58"/>
      <c r="H125" s="56"/>
      <c r="I125" s="58" t="s">
        <v>552</v>
      </c>
      <c r="J125" s="839">
        <v>4544602117</v>
      </c>
      <c r="K125" s="56" t="s">
        <v>553</v>
      </c>
      <c r="L125" s="40"/>
      <c r="M125" s="16" t="s">
        <v>73</v>
      </c>
      <c r="N125" s="110"/>
      <c r="O125" s="110"/>
      <c r="P125" s="110"/>
      <c r="Q125" s="110"/>
      <c r="R125" s="110"/>
      <c r="S125" s="110"/>
      <c r="T125" s="110"/>
      <c r="U125" s="110"/>
      <c r="W125" s="16">
        <v>4</v>
      </c>
      <c r="X125" s="16"/>
      <c r="Y125" s="16">
        <v>79</v>
      </c>
      <c r="Z125" s="679" t="s">
        <v>279</v>
      </c>
    </row>
    <row r="126" spans="1:55" s="18" customFormat="1" ht="55.2">
      <c r="A126" s="18" t="s">
        <v>522</v>
      </c>
      <c r="B126" s="583">
        <v>45674</v>
      </c>
      <c r="C126" s="18" t="s">
        <v>555</v>
      </c>
      <c r="D126" s="58"/>
      <c r="E126" s="16" t="s">
        <v>45</v>
      </c>
      <c r="F126" s="66">
        <v>45674</v>
      </c>
      <c r="G126" s="58"/>
      <c r="H126" s="56" t="s">
        <v>558</v>
      </c>
      <c r="I126" s="58"/>
      <c r="J126" s="839"/>
      <c r="K126" s="56" t="s">
        <v>560</v>
      </c>
      <c r="L126" s="56" t="s">
        <v>559</v>
      </c>
      <c r="M126" s="16" t="s">
        <v>73</v>
      </c>
      <c r="N126" s="110"/>
      <c r="O126" s="110"/>
      <c r="P126" s="110"/>
      <c r="Q126" s="110"/>
      <c r="R126" s="110"/>
      <c r="S126" s="110"/>
      <c r="T126" s="110"/>
      <c r="U126" s="110"/>
      <c r="W126" s="16">
        <v>4</v>
      </c>
      <c r="X126" s="16"/>
      <c r="Y126" s="16">
        <v>85</v>
      </c>
      <c r="Z126" s="679" t="s">
        <v>309</v>
      </c>
    </row>
    <row r="127" spans="1:55" s="20" customFormat="1" ht="27.6">
      <c r="A127" s="20" t="s">
        <v>522</v>
      </c>
      <c r="B127" s="88">
        <v>45674</v>
      </c>
      <c r="C127" s="20" t="s">
        <v>561</v>
      </c>
      <c r="D127" s="96"/>
      <c r="E127" s="22"/>
      <c r="F127" s="88"/>
      <c r="G127" s="96"/>
      <c r="H127" s="62" t="s">
        <v>562</v>
      </c>
      <c r="I127" s="96"/>
      <c r="J127" s="96" t="s">
        <v>564</v>
      </c>
      <c r="K127" s="62" t="s">
        <v>563</v>
      </c>
      <c r="N127" s="22"/>
      <c r="O127" s="22"/>
      <c r="P127" s="22"/>
      <c r="Q127" s="22"/>
      <c r="R127" s="22"/>
      <c r="S127" s="22"/>
      <c r="T127" s="22"/>
      <c r="U127" s="22"/>
      <c r="W127" s="22"/>
      <c r="X127" s="22"/>
      <c r="Y127" s="22"/>
      <c r="Z127" s="62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</row>
    <row r="128" spans="1:55" s="18" customFormat="1" ht="55.2">
      <c r="A128" s="18" t="s">
        <v>451</v>
      </c>
      <c r="B128" s="583">
        <v>45677</v>
      </c>
      <c r="C128" s="18" t="s">
        <v>565</v>
      </c>
      <c r="D128" s="58"/>
      <c r="E128" s="16" t="s">
        <v>45</v>
      </c>
      <c r="F128" s="66">
        <v>45750</v>
      </c>
      <c r="G128" s="58" t="s">
        <v>583</v>
      </c>
      <c r="H128" s="56"/>
      <c r="I128" s="58"/>
      <c r="J128" s="839"/>
      <c r="K128" s="56" t="s">
        <v>567</v>
      </c>
      <c r="L128" s="18" t="s">
        <v>566</v>
      </c>
      <c r="M128" s="16" t="s">
        <v>73</v>
      </c>
      <c r="N128" s="829"/>
      <c r="O128" s="16"/>
      <c r="P128" s="16"/>
      <c r="Q128" s="16"/>
      <c r="R128" s="16"/>
      <c r="S128" s="16"/>
      <c r="T128" s="16"/>
      <c r="U128" s="16"/>
      <c r="W128" s="16"/>
      <c r="X128" s="16"/>
      <c r="Y128" s="16"/>
      <c r="Z128" s="679" t="s">
        <v>568</v>
      </c>
    </row>
    <row r="129" spans="1:55" s="18" customFormat="1" ht="27.6">
      <c r="A129" s="18" t="s">
        <v>570</v>
      </c>
      <c r="B129" s="583">
        <v>45677</v>
      </c>
      <c r="C129" s="18" t="s">
        <v>604</v>
      </c>
      <c r="D129" s="58"/>
      <c r="E129" s="16" t="s">
        <v>45</v>
      </c>
      <c r="F129" s="66">
        <v>45685</v>
      </c>
      <c r="G129" s="58"/>
      <c r="H129" s="56"/>
      <c r="I129" s="58"/>
      <c r="J129" s="839">
        <v>4544691102</v>
      </c>
      <c r="K129" s="56"/>
      <c r="L129" s="18" t="s">
        <v>580</v>
      </c>
      <c r="M129" s="16" t="s">
        <v>73</v>
      </c>
      <c r="N129" s="829"/>
      <c r="O129" s="16"/>
      <c r="P129" s="16"/>
      <c r="Q129" s="16"/>
      <c r="R129" s="16"/>
      <c r="S129" s="16"/>
      <c r="T129" s="16"/>
      <c r="U129" s="16"/>
      <c r="W129" s="16"/>
      <c r="X129" s="16"/>
      <c r="Y129" s="16"/>
      <c r="Z129" s="679" t="s">
        <v>571</v>
      </c>
    </row>
    <row r="130" spans="1:55" s="18" customFormat="1" ht="27.6">
      <c r="A130" s="18" t="s">
        <v>98</v>
      </c>
      <c r="B130" s="583">
        <v>45677</v>
      </c>
      <c r="C130" s="18" t="s">
        <v>605</v>
      </c>
      <c r="D130" s="58" t="s">
        <v>142</v>
      </c>
      <c r="E130" s="16" t="s">
        <v>45</v>
      </c>
      <c r="F130" s="66" t="s">
        <v>806</v>
      </c>
      <c r="G130" s="58"/>
      <c r="H130" s="56" t="s">
        <v>572</v>
      </c>
      <c r="I130" s="58" t="s">
        <v>573</v>
      </c>
      <c r="J130" s="839">
        <v>4544635421</v>
      </c>
      <c r="K130" s="56" t="s">
        <v>574</v>
      </c>
      <c r="L130" s="18" t="s">
        <v>575</v>
      </c>
      <c r="M130" s="16" t="s">
        <v>73</v>
      </c>
      <c r="N130" s="829"/>
      <c r="O130" s="16"/>
      <c r="P130" s="16"/>
      <c r="Q130" s="16"/>
      <c r="R130" s="16"/>
      <c r="S130" s="16"/>
      <c r="T130" s="16"/>
      <c r="U130" s="16"/>
      <c r="W130" s="16">
        <v>8</v>
      </c>
      <c r="X130" s="16">
        <v>7.3</v>
      </c>
      <c r="Y130" s="16">
        <v>107</v>
      </c>
      <c r="Z130" s="679"/>
    </row>
    <row r="131" spans="1:55" s="18" customFormat="1" ht="41.4">
      <c r="A131" s="18" t="s">
        <v>98</v>
      </c>
      <c r="B131" s="583">
        <v>45681</v>
      </c>
      <c r="C131" s="18" t="s">
        <v>576</v>
      </c>
      <c r="D131" s="58"/>
      <c r="E131" s="16" t="s">
        <v>45</v>
      </c>
      <c r="F131" s="66" t="s">
        <v>807</v>
      </c>
      <c r="G131" s="58"/>
      <c r="H131" s="56"/>
      <c r="I131" s="58" t="s">
        <v>577</v>
      </c>
      <c r="J131" s="839">
        <v>4544680030</v>
      </c>
      <c r="K131" s="56" t="s">
        <v>578</v>
      </c>
      <c r="M131" s="16" t="s">
        <v>73</v>
      </c>
      <c r="N131" s="829"/>
      <c r="O131" s="16"/>
      <c r="P131" s="16"/>
      <c r="Q131" s="16"/>
      <c r="R131" s="16"/>
      <c r="S131" s="16"/>
      <c r="T131" s="16"/>
      <c r="U131" s="16"/>
      <c r="W131" s="16">
        <v>6</v>
      </c>
      <c r="X131" s="16"/>
      <c r="Y131" s="16">
        <v>510</v>
      </c>
      <c r="Z131" s="679" t="s">
        <v>279</v>
      </c>
    </row>
    <row r="132" spans="1:55" s="18" customFormat="1">
      <c r="A132" s="18" t="s">
        <v>98</v>
      </c>
      <c r="B132" s="583">
        <v>45685</v>
      </c>
      <c r="C132" s="18" t="s">
        <v>581</v>
      </c>
      <c r="D132" s="58"/>
      <c r="E132" s="16" t="s">
        <v>45</v>
      </c>
      <c r="F132" s="66">
        <v>45698</v>
      </c>
      <c r="G132" s="58"/>
      <c r="H132" s="56"/>
      <c r="I132" s="58">
        <v>4542162213</v>
      </c>
      <c r="J132" s="839">
        <v>4544803338</v>
      </c>
      <c r="K132" s="56" t="s">
        <v>582</v>
      </c>
      <c r="L132" s="18" t="s">
        <v>771</v>
      </c>
      <c r="M132" s="16" t="s">
        <v>73</v>
      </c>
      <c r="N132" s="829"/>
      <c r="O132" s="16"/>
      <c r="P132" s="16"/>
      <c r="Q132" s="16"/>
      <c r="R132" s="16"/>
      <c r="S132" s="16"/>
      <c r="T132" s="16"/>
      <c r="U132" s="16"/>
      <c r="W132" s="16">
        <v>1</v>
      </c>
      <c r="X132" s="16">
        <v>11</v>
      </c>
      <c r="Y132" s="16">
        <v>59</v>
      </c>
      <c r="Z132" s="679" t="s">
        <v>279</v>
      </c>
    </row>
    <row r="133" spans="1:55" s="18" customFormat="1" ht="44.25" customHeight="1">
      <c r="A133" s="18" t="s">
        <v>98</v>
      </c>
      <c r="B133" s="583">
        <v>45687</v>
      </c>
      <c r="C133" s="18" t="s">
        <v>584</v>
      </c>
      <c r="D133" s="58"/>
      <c r="E133" s="16" t="s">
        <v>45</v>
      </c>
      <c r="F133" s="66">
        <v>45698</v>
      </c>
      <c r="G133" s="58" t="s">
        <v>583</v>
      </c>
      <c r="H133" s="56"/>
      <c r="I133" s="58"/>
      <c r="J133" s="839"/>
      <c r="K133" s="18" t="s">
        <v>585</v>
      </c>
      <c r="L133" s="18" t="s">
        <v>619</v>
      </c>
      <c r="M133" s="16" t="s">
        <v>73</v>
      </c>
      <c r="N133" s="829"/>
      <c r="O133" s="16"/>
      <c r="P133" s="16"/>
      <c r="Q133" s="16"/>
      <c r="R133" s="16"/>
      <c r="S133" s="16"/>
      <c r="T133" s="16"/>
      <c r="U133" s="16"/>
      <c r="W133" s="16">
        <v>3</v>
      </c>
      <c r="X133" s="16"/>
      <c r="Y133" s="16">
        <v>173</v>
      </c>
      <c r="Z133" s="679" t="s">
        <v>279</v>
      </c>
    </row>
    <row r="134" spans="1:55" s="18" customFormat="1" ht="27.6">
      <c r="A134" s="18" t="s">
        <v>443</v>
      </c>
      <c r="B134" s="583">
        <v>45687</v>
      </c>
      <c r="C134" s="18" t="s">
        <v>586</v>
      </c>
      <c r="D134" s="58"/>
      <c r="E134" s="16" t="s">
        <v>45</v>
      </c>
      <c r="F134" s="66">
        <v>45698</v>
      </c>
      <c r="G134" s="58"/>
      <c r="H134" s="56"/>
      <c r="I134" s="58"/>
      <c r="J134" s="839"/>
      <c r="K134" s="56" t="s">
        <v>587</v>
      </c>
      <c r="M134" s="16" t="s">
        <v>73</v>
      </c>
      <c r="N134" s="829"/>
      <c r="O134" s="16"/>
      <c r="P134" s="16"/>
      <c r="Q134" s="16"/>
      <c r="R134" s="16"/>
      <c r="S134" s="16"/>
      <c r="T134" s="16"/>
      <c r="U134" s="16"/>
      <c r="W134" s="16">
        <v>1</v>
      </c>
      <c r="X134" s="16"/>
      <c r="Y134" s="16">
        <v>85</v>
      </c>
      <c r="Z134" s="679" t="s">
        <v>279</v>
      </c>
    </row>
    <row r="135" spans="1:55" s="18" customFormat="1" ht="13.95" customHeight="1">
      <c r="A135" s="18" t="s">
        <v>522</v>
      </c>
      <c r="B135" s="583">
        <v>45692</v>
      </c>
      <c r="C135" s="18" t="s">
        <v>589</v>
      </c>
      <c r="D135" s="58" t="s">
        <v>142</v>
      </c>
      <c r="E135" s="16" t="s">
        <v>45</v>
      </c>
      <c r="F135" s="66">
        <v>45692</v>
      </c>
      <c r="G135" s="58"/>
      <c r="H135" s="56" t="s">
        <v>593</v>
      </c>
      <c r="I135" s="58" t="s">
        <v>590</v>
      </c>
      <c r="J135" s="839"/>
      <c r="K135" s="56" t="s">
        <v>591</v>
      </c>
      <c r="M135" s="16" t="s">
        <v>73</v>
      </c>
      <c r="N135" s="829"/>
      <c r="O135" s="16"/>
      <c r="P135" s="16"/>
      <c r="Q135" s="16"/>
      <c r="R135" s="16"/>
      <c r="S135" s="16"/>
      <c r="T135" s="16"/>
      <c r="U135" s="16"/>
      <c r="W135" s="16"/>
      <c r="X135" s="16"/>
      <c r="Y135" s="16">
        <v>260</v>
      </c>
      <c r="Z135" s="679"/>
    </row>
    <row r="136" spans="1:55" s="20" customFormat="1" ht="27.6">
      <c r="A136" s="20" t="s">
        <v>98</v>
      </c>
      <c r="B136" s="88">
        <v>45688</v>
      </c>
      <c r="C136" s="20" t="s">
        <v>599</v>
      </c>
      <c r="D136" s="96"/>
      <c r="E136" s="22" t="s">
        <v>45</v>
      </c>
      <c r="F136" s="88"/>
      <c r="G136" s="96"/>
      <c r="H136" s="62" t="s">
        <v>592</v>
      </c>
      <c r="I136" s="96">
        <v>4544710879</v>
      </c>
      <c r="J136" s="96"/>
      <c r="K136" s="62"/>
      <c r="M136" s="22" t="s">
        <v>73</v>
      </c>
      <c r="N136" s="22"/>
      <c r="O136" s="22"/>
      <c r="P136" s="22"/>
      <c r="Q136" s="22"/>
      <c r="R136" s="22"/>
      <c r="S136" s="22"/>
      <c r="T136" s="22"/>
      <c r="U136" s="22"/>
      <c r="W136" s="22"/>
      <c r="X136" s="22"/>
      <c r="Y136" s="22"/>
      <c r="Z136" s="62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</row>
    <row r="137" spans="1:55" s="18" customFormat="1" ht="24.75" customHeight="1">
      <c r="A137" s="18" t="s">
        <v>595</v>
      </c>
      <c r="B137" s="583">
        <v>45694</v>
      </c>
      <c r="C137" s="18" t="s">
        <v>597</v>
      </c>
      <c r="D137" s="58"/>
      <c r="E137" s="16" t="s">
        <v>45</v>
      </c>
      <c r="F137" s="66"/>
      <c r="G137" s="58"/>
      <c r="H137" s="56"/>
      <c r="I137" s="58"/>
      <c r="J137" s="839"/>
      <c r="K137" s="56" t="s">
        <v>594</v>
      </c>
      <c r="M137" s="16" t="s">
        <v>600</v>
      </c>
      <c r="N137" s="829"/>
      <c r="O137" s="16"/>
      <c r="P137" s="16"/>
      <c r="Q137" s="16"/>
      <c r="R137" s="16"/>
      <c r="S137" s="16"/>
      <c r="T137" s="16"/>
      <c r="U137" s="16"/>
      <c r="W137" s="16">
        <v>63</v>
      </c>
      <c r="X137" s="16"/>
      <c r="Y137" s="16" t="s">
        <v>609</v>
      </c>
      <c r="Z137" s="679"/>
    </row>
    <row r="138" spans="1:55" s="18" customFormat="1" ht="41.4">
      <c r="A138" s="18" t="s">
        <v>610</v>
      </c>
      <c r="B138" s="583">
        <v>45693</v>
      </c>
      <c r="C138" s="18" t="s">
        <v>596</v>
      </c>
      <c r="D138" s="58"/>
      <c r="E138" s="16" t="s">
        <v>45</v>
      </c>
      <c r="F138" s="66" t="s">
        <v>816</v>
      </c>
      <c r="G138" s="58"/>
      <c r="H138" s="56">
        <v>4543365264</v>
      </c>
      <c r="I138" s="265"/>
      <c r="J138" s="839"/>
      <c r="K138" s="56" t="s">
        <v>598</v>
      </c>
      <c r="L138" s="18" t="s">
        <v>636</v>
      </c>
      <c r="M138" s="16" t="s">
        <v>73</v>
      </c>
      <c r="N138" s="829"/>
      <c r="O138" s="16"/>
      <c r="P138" s="16"/>
      <c r="Q138" s="16"/>
      <c r="R138" s="16"/>
      <c r="S138" s="16"/>
      <c r="T138" s="16"/>
      <c r="U138" s="16"/>
      <c r="W138" s="16">
        <v>4</v>
      </c>
      <c r="X138" s="16"/>
      <c r="Y138" s="16">
        <v>253</v>
      </c>
      <c r="Z138" s="679" t="s">
        <v>610</v>
      </c>
    </row>
    <row r="139" spans="1:55" s="18" customFormat="1" ht="27.6">
      <c r="A139" s="18" t="s">
        <v>98</v>
      </c>
      <c r="B139" s="583">
        <v>45694</v>
      </c>
      <c r="C139" s="18" t="s">
        <v>601</v>
      </c>
      <c r="D139" s="58"/>
      <c r="E139" s="16" t="s">
        <v>45</v>
      </c>
      <c r="F139" s="66" t="s">
        <v>815</v>
      </c>
      <c r="G139" s="58" t="s">
        <v>583</v>
      </c>
      <c r="H139" s="56"/>
      <c r="I139" s="58" t="s">
        <v>603</v>
      </c>
      <c r="J139" s="839"/>
      <c r="K139" s="40" t="s">
        <v>602</v>
      </c>
      <c r="M139" s="16" t="s">
        <v>73</v>
      </c>
      <c r="N139" s="829"/>
      <c r="O139" s="16"/>
      <c r="P139" s="16"/>
      <c r="Q139" s="16"/>
      <c r="R139" s="16"/>
      <c r="S139" s="16"/>
      <c r="T139" s="16"/>
      <c r="U139" s="16"/>
      <c r="W139" s="16">
        <v>1</v>
      </c>
      <c r="X139" s="16"/>
      <c r="Y139" s="16">
        <v>175</v>
      </c>
      <c r="Z139" s="679" t="s">
        <v>279</v>
      </c>
    </row>
    <row r="140" spans="1:55" s="18" customFormat="1">
      <c r="A140" s="18" t="s">
        <v>607</v>
      </c>
      <c r="B140" s="583">
        <v>45695</v>
      </c>
      <c r="C140" s="18" t="s">
        <v>608</v>
      </c>
      <c r="D140" s="58"/>
      <c r="E140" s="16"/>
      <c r="F140" s="66"/>
      <c r="G140" s="58" t="s">
        <v>583</v>
      </c>
      <c r="H140" s="123"/>
      <c r="I140" s="58">
        <v>4543021828</v>
      </c>
      <c r="J140" s="839"/>
      <c r="K140" s="56"/>
      <c r="M140" s="16" t="s">
        <v>73</v>
      </c>
      <c r="N140" s="829"/>
      <c r="O140" s="16"/>
      <c r="P140" s="16"/>
      <c r="Q140" s="16"/>
      <c r="R140" s="16"/>
      <c r="S140" s="16"/>
      <c r="T140" s="16"/>
      <c r="U140" s="16"/>
      <c r="W140" s="16"/>
      <c r="X140" s="16"/>
      <c r="Y140" s="16"/>
      <c r="Z140" s="679"/>
    </row>
    <row r="141" spans="1:55" s="18" customFormat="1" ht="30" customHeight="1">
      <c r="A141" s="18" t="s">
        <v>98</v>
      </c>
      <c r="B141" s="583">
        <v>45701</v>
      </c>
      <c r="C141" s="18" t="s">
        <v>620</v>
      </c>
      <c r="D141" s="58"/>
      <c r="E141" s="16" t="s">
        <v>45</v>
      </c>
      <c r="F141" s="66" t="s">
        <v>814</v>
      </c>
      <c r="G141" s="58" t="s">
        <v>583</v>
      </c>
      <c r="H141" s="123"/>
      <c r="I141" s="58" t="s">
        <v>621</v>
      </c>
      <c r="J141" s="839"/>
      <c r="K141" s="56"/>
      <c r="L141" s="18" t="s">
        <v>772</v>
      </c>
      <c r="M141" s="16" t="s">
        <v>73</v>
      </c>
      <c r="N141" s="829"/>
      <c r="O141" s="16"/>
      <c r="P141" s="16"/>
      <c r="Q141" s="16"/>
      <c r="R141" s="16"/>
      <c r="S141" s="16"/>
      <c r="T141" s="16"/>
      <c r="U141" s="16"/>
      <c r="W141" s="16">
        <v>1</v>
      </c>
      <c r="X141" s="16">
        <v>71.19</v>
      </c>
      <c r="Y141" s="16">
        <v>150</v>
      </c>
      <c r="Z141" s="679" t="s">
        <v>279</v>
      </c>
    </row>
    <row r="142" spans="1:55" s="18" customFormat="1" ht="55.5" customHeight="1">
      <c r="A142" s="18" t="s">
        <v>696</v>
      </c>
      <c r="B142" s="583">
        <v>45701</v>
      </c>
      <c r="C142" s="18" t="s">
        <v>819</v>
      </c>
      <c r="D142" s="58"/>
      <c r="E142" s="16"/>
      <c r="F142" s="66"/>
      <c r="G142" s="58"/>
      <c r="H142" s="123"/>
      <c r="I142" s="58"/>
      <c r="J142" s="839"/>
      <c r="K142" s="40" t="s">
        <v>818</v>
      </c>
      <c r="L142" s="18" t="s">
        <v>817</v>
      </c>
      <c r="M142" s="16" t="s">
        <v>73</v>
      </c>
      <c r="N142" s="829"/>
      <c r="O142" s="16"/>
      <c r="P142" s="16"/>
      <c r="Q142" s="16"/>
      <c r="R142" s="16"/>
      <c r="S142" s="16"/>
      <c r="T142" s="16"/>
      <c r="U142" s="16"/>
      <c r="W142" s="16"/>
      <c r="X142" s="16"/>
      <c r="Y142" s="16"/>
      <c r="Z142" s="679" t="s">
        <v>697</v>
      </c>
    </row>
    <row r="143" spans="1:55" s="20" customFormat="1" ht="15" customHeight="1">
      <c r="A143" s="20" t="s">
        <v>522</v>
      </c>
      <c r="B143" s="88">
        <v>45701</v>
      </c>
      <c r="C143" s="20" t="s">
        <v>622</v>
      </c>
      <c r="D143" s="96"/>
      <c r="E143" s="22" t="s">
        <v>45</v>
      </c>
      <c r="F143" s="88">
        <v>45701</v>
      </c>
      <c r="G143" s="96"/>
      <c r="H143" s="202" t="s">
        <v>623</v>
      </c>
      <c r="I143" s="96">
        <v>4542610409</v>
      </c>
      <c r="J143" s="96"/>
      <c r="K143" s="41" t="s">
        <v>624</v>
      </c>
      <c r="M143" s="22" t="s">
        <v>73</v>
      </c>
      <c r="N143" s="22"/>
      <c r="O143" s="22"/>
      <c r="P143" s="22"/>
      <c r="Q143" s="22"/>
      <c r="R143" s="22"/>
      <c r="S143" s="22"/>
      <c r="T143" s="22"/>
      <c r="U143" s="22"/>
      <c r="W143" s="22">
        <v>1</v>
      </c>
      <c r="X143" s="22">
        <v>18.170000000000002</v>
      </c>
      <c r="Y143" s="22">
        <v>96.47</v>
      </c>
      <c r="Z143" s="62" t="s">
        <v>309</v>
      </c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 spans="1:55" s="18" customFormat="1" ht="24" customHeight="1">
      <c r="A144" s="18" t="s">
        <v>798</v>
      </c>
      <c r="B144" s="583">
        <v>45706</v>
      </c>
      <c r="C144" s="18" t="s">
        <v>634</v>
      </c>
      <c r="D144" s="58"/>
      <c r="E144" s="16"/>
      <c r="F144" s="66"/>
      <c r="G144" s="58"/>
      <c r="H144" s="123"/>
      <c r="I144" s="58"/>
      <c r="J144" s="839"/>
      <c r="K144" s="40"/>
      <c r="M144" s="16" t="s">
        <v>73</v>
      </c>
      <c r="N144" s="829"/>
      <c r="O144" s="16"/>
      <c r="P144" s="16"/>
      <c r="Q144" s="16"/>
      <c r="R144" s="16"/>
      <c r="S144" s="16"/>
      <c r="T144" s="16"/>
      <c r="U144" s="16"/>
      <c r="W144" s="16"/>
      <c r="X144" s="16"/>
      <c r="Y144" s="16"/>
      <c r="Z144" s="679" t="s">
        <v>822</v>
      </c>
    </row>
    <row r="145" spans="1:50" s="18" customFormat="1" ht="27.6">
      <c r="A145" s="20" t="s">
        <v>798</v>
      </c>
      <c r="B145" s="583">
        <v>45706</v>
      </c>
      <c r="C145" s="18" t="s">
        <v>635</v>
      </c>
      <c r="D145" s="58"/>
      <c r="E145" s="16"/>
      <c r="F145" s="88"/>
      <c r="G145" s="58"/>
      <c r="H145" s="123"/>
      <c r="I145" s="58"/>
      <c r="J145" s="839"/>
      <c r="K145" s="41"/>
      <c r="L145" s="20"/>
      <c r="M145" s="16" t="s">
        <v>73</v>
      </c>
      <c r="N145" s="829"/>
      <c r="O145" s="16"/>
      <c r="P145" s="16"/>
      <c r="Q145" s="16"/>
      <c r="R145" s="16"/>
      <c r="S145" s="16"/>
      <c r="T145" s="16"/>
      <c r="U145" s="16"/>
      <c r="W145" s="16"/>
      <c r="X145" s="16"/>
      <c r="Y145" s="22"/>
      <c r="Z145" s="62" t="s">
        <v>822</v>
      </c>
    </row>
    <row r="146" spans="1:50" s="18" customFormat="1" ht="43.5" customHeight="1">
      <c r="A146" s="367" t="s">
        <v>655</v>
      </c>
      <c r="B146" s="100">
        <v>45707</v>
      </c>
      <c r="C146" s="76" t="s">
        <v>637</v>
      </c>
      <c r="D146" s="263"/>
      <c r="E146" s="30" t="s">
        <v>45</v>
      </c>
      <c r="F146" s="66">
        <v>45713</v>
      </c>
      <c r="G146" s="263"/>
      <c r="H146" s="368"/>
      <c r="I146" s="263">
        <v>4539807858</v>
      </c>
      <c r="J146" s="263"/>
      <c r="K146" s="254" t="s">
        <v>1237</v>
      </c>
      <c r="L146" s="254" t="s">
        <v>799</v>
      </c>
      <c r="M146" s="30" t="s">
        <v>73</v>
      </c>
      <c r="N146" s="825"/>
      <c r="O146" s="30"/>
      <c r="P146" s="30"/>
      <c r="Q146" s="30"/>
      <c r="R146" s="30"/>
      <c r="S146" s="30"/>
      <c r="T146" s="30"/>
      <c r="U146" s="30"/>
      <c r="V146" s="76"/>
      <c r="W146" s="30"/>
      <c r="X146" s="30"/>
      <c r="Y146" s="16">
        <v>290</v>
      </c>
      <c r="Z146" s="679" t="s">
        <v>821</v>
      </c>
    </row>
    <row r="147" spans="1:50" s="18" customFormat="1" ht="41.4">
      <c r="A147" s="172" t="s">
        <v>98</v>
      </c>
      <c r="B147" s="583">
        <v>45707</v>
      </c>
      <c r="C147" s="18" t="s">
        <v>653</v>
      </c>
      <c r="D147" s="58"/>
      <c r="E147" s="16" t="s">
        <v>45</v>
      </c>
      <c r="F147" s="66">
        <v>45708</v>
      </c>
      <c r="G147" s="58"/>
      <c r="H147" s="123"/>
      <c r="I147" s="58" t="s">
        <v>638</v>
      </c>
      <c r="J147" s="839"/>
      <c r="K147" s="18" t="s">
        <v>639</v>
      </c>
      <c r="M147" s="16" t="s">
        <v>73</v>
      </c>
      <c r="N147" s="829"/>
      <c r="O147" s="16"/>
      <c r="P147" s="16"/>
      <c r="Q147" s="16"/>
      <c r="R147" s="16"/>
      <c r="S147" s="16"/>
      <c r="T147" s="16"/>
      <c r="U147" s="16"/>
      <c r="W147" s="16">
        <v>1</v>
      </c>
      <c r="X147" s="16">
        <v>1.86</v>
      </c>
      <c r="Y147" s="16">
        <v>51</v>
      </c>
      <c r="Z147" s="679" t="s">
        <v>279</v>
      </c>
    </row>
    <row r="148" spans="1:50" s="18" customFormat="1" ht="33" customHeight="1">
      <c r="A148" s="172" t="s">
        <v>677</v>
      </c>
      <c r="B148" s="583">
        <v>45708</v>
      </c>
      <c r="C148" s="18" t="s">
        <v>698</v>
      </c>
      <c r="D148" s="58"/>
      <c r="E148" s="16" t="s">
        <v>45</v>
      </c>
      <c r="F148" s="66">
        <v>45742</v>
      </c>
      <c r="G148" s="58"/>
      <c r="H148" s="123" t="s">
        <v>699</v>
      </c>
      <c r="I148" s="58"/>
      <c r="J148" s="839"/>
      <c r="K148" s="92" t="s">
        <v>756</v>
      </c>
      <c r="M148" s="16" t="s">
        <v>73</v>
      </c>
      <c r="N148" s="829"/>
      <c r="O148" s="16"/>
      <c r="P148" s="16"/>
      <c r="Q148" s="16"/>
      <c r="R148" s="16"/>
      <c r="S148" s="16"/>
      <c r="T148" s="16"/>
      <c r="U148" s="16"/>
      <c r="W148" s="16">
        <v>4</v>
      </c>
      <c r="X148" s="16"/>
      <c r="Y148" s="16">
        <v>110</v>
      </c>
      <c r="Z148" s="679" t="s">
        <v>757</v>
      </c>
    </row>
    <row r="149" spans="1:50" s="18" customFormat="1" ht="27.6">
      <c r="A149" s="18" t="s">
        <v>188</v>
      </c>
      <c r="B149" s="583">
        <v>45708</v>
      </c>
      <c r="C149" s="18" t="s">
        <v>648</v>
      </c>
      <c r="D149" s="58" t="s">
        <v>142</v>
      </c>
      <c r="E149" s="16" t="s">
        <v>45</v>
      </c>
      <c r="F149" s="66" t="s">
        <v>808</v>
      </c>
      <c r="G149" s="58" t="s">
        <v>583</v>
      </c>
      <c r="H149" s="123" t="s">
        <v>650</v>
      </c>
      <c r="I149" s="58">
        <v>4544911917</v>
      </c>
      <c r="J149" s="839">
        <v>4544965888</v>
      </c>
      <c r="K149" s="18" t="s">
        <v>647</v>
      </c>
      <c r="M149" s="16" t="s">
        <v>73</v>
      </c>
      <c r="N149" s="829"/>
      <c r="O149" s="16"/>
      <c r="P149" s="16"/>
      <c r="Q149" s="16"/>
      <c r="R149" s="16"/>
      <c r="S149" s="16"/>
      <c r="T149" s="16"/>
      <c r="U149" s="16"/>
      <c r="W149" s="16">
        <v>1</v>
      </c>
      <c r="X149" s="16">
        <v>242.32</v>
      </c>
      <c r="Y149" s="16">
        <v>321</v>
      </c>
      <c r="Z149" s="679" t="s">
        <v>309</v>
      </c>
    </row>
    <row r="150" spans="1:50" s="18" customFormat="1" ht="12.75" customHeight="1">
      <c r="A150" s="172" t="s">
        <v>640</v>
      </c>
      <c r="B150" s="583">
        <v>45709</v>
      </c>
      <c r="C150" s="18" t="s">
        <v>641</v>
      </c>
      <c r="D150" s="58"/>
      <c r="E150" s="16" t="s">
        <v>671</v>
      </c>
      <c r="F150" s="66"/>
      <c r="G150" s="58" t="s">
        <v>665</v>
      </c>
      <c r="H150" s="123" t="s">
        <v>672</v>
      </c>
      <c r="I150" s="58" t="s">
        <v>673</v>
      </c>
      <c r="J150" s="839"/>
      <c r="L150" s="18" t="s">
        <v>642</v>
      </c>
      <c r="M150" s="16" t="s">
        <v>73</v>
      </c>
      <c r="N150" s="829"/>
      <c r="O150" s="16"/>
      <c r="P150" s="16"/>
      <c r="Q150" s="16"/>
      <c r="R150" s="16"/>
      <c r="S150" s="16"/>
      <c r="T150" s="16"/>
      <c r="U150" s="16"/>
      <c r="W150" s="16"/>
      <c r="X150" s="16"/>
      <c r="Y150" s="16"/>
      <c r="Z150" s="680" t="s">
        <v>672</v>
      </c>
    </row>
    <row r="151" spans="1:50" s="18" customFormat="1" ht="27.6">
      <c r="A151" s="172" t="s">
        <v>443</v>
      </c>
      <c r="B151" s="583">
        <v>45709</v>
      </c>
      <c r="C151" s="18" t="s">
        <v>660</v>
      </c>
      <c r="D151" s="58"/>
      <c r="E151" s="16" t="s">
        <v>45</v>
      </c>
      <c r="F151" s="66" t="s">
        <v>808</v>
      </c>
      <c r="G151" s="58"/>
      <c r="H151" s="123"/>
      <c r="I151" s="58"/>
      <c r="J151" s="839"/>
      <c r="K151" s="18" t="s">
        <v>644</v>
      </c>
      <c r="M151" s="16" t="s">
        <v>73</v>
      </c>
      <c r="N151" s="829"/>
      <c r="O151" s="16"/>
      <c r="P151" s="16"/>
      <c r="Q151" s="16"/>
      <c r="R151" s="16"/>
      <c r="S151" s="16"/>
      <c r="T151" s="16"/>
      <c r="U151" s="16"/>
      <c r="W151" s="16">
        <v>1</v>
      </c>
      <c r="X151" s="16">
        <v>36.19</v>
      </c>
      <c r="Y151" s="16">
        <v>84.92</v>
      </c>
      <c r="Z151" s="679" t="s">
        <v>279</v>
      </c>
    </row>
    <row r="152" spans="1:50" s="20" customFormat="1" ht="27.6">
      <c r="A152" s="20" t="s">
        <v>184</v>
      </c>
      <c r="B152" s="88">
        <v>45709</v>
      </c>
      <c r="C152" s="20" t="s">
        <v>646</v>
      </c>
      <c r="D152" s="96" t="s">
        <v>142</v>
      </c>
      <c r="E152" s="22" t="s">
        <v>45</v>
      </c>
      <c r="F152" s="88">
        <v>45713</v>
      </c>
      <c r="G152" s="96" t="s">
        <v>583</v>
      </c>
      <c r="H152" s="202" t="s">
        <v>649</v>
      </c>
      <c r="I152" s="96"/>
      <c r="J152" s="96">
        <v>4544965889</v>
      </c>
      <c r="K152" s="20" t="s">
        <v>647</v>
      </c>
      <c r="M152" s="22" t="s">
        <v>73</v>
      </c>
      <c r="N152" s="22"/>
      <c r="O152" s="22"/>
      <c r="P152" s="22"/>
      <c r="Q152" s="22"/>
      <c r="R152" s="22"/>
      <c r="S152" s="22"/>
      <c r="T152" s="22"/>
      <c r="U152" s="22"/>
      <c r="W152" s="22">
        <v>1</v>
      </c>
      <c r="X152" s="22">
        <v>242.32</v>
      </c>
      <c r="Y152" s="22">
        <v>321</v>
      </c>
      <c r="Z152" s="62" t="s">
        <v>309</v>
      </c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 spans="1:50" s="18" customFormat="1" ht="55.2">
      <c r="A153" s="172" t="s">
        <v>443</v>
      </c>
      <c r="B153" s="583">
        <v>45712</v>
      </c>
      <c r="C153" s="18" t="s">
        <v>651</v>
      </c>
      <c r="D153" s="58"/>
      <c r="E153" s="16" t="s">
        <v>45</v>
      </c>
      <c r="F153" s="66">
        <v>45713</v>
      </c>
      <c r="G153" s="58"/>
      <c r="H153" s="123"/>
      <c r="I153" s="58"/>
      <c r="J153" s="839">
        <v>4545295726</v>
      </c>
      <c r="K153" s="18" t="s">
        <v>652</v>
      </c>
      <c r="L153" s="18" t="s">
        <v>659</v>
      </c>
      <c r="M153" s="16" t="s">
        <v>73</v>
      </c>
      <c r="N153" s="829"/>
      <c r="O153" s="16"/>
      <c r="P153" s="16"/>
      <c r="Q153" s="16"/>
      <c r="R153" s="16"/>
      <c r="S153" s="16"/>
      <c r="T153" s="16"/>
      <c r="U153" s="16"/>
      <c r="W153" s="16">
        <v>2</v>
      </c>
      <c r="X153" s="16"/>
      <c r="Y153" s="16">
        <v>350</v>
      </c>
      <c r="Z153" s="679" t="s">
        <v>279</v>
      </c>
    </row>
    <row r="154" spans="1:50" s="18" customFormat="1" ht="41.4">
      <c r="A154" s="18" t="s">
        <v>302</v>
      </c>
      <c r="B154" s="583">
        <v>45713</v>
      </c>
      <c r="C154" s="18" t="s">
        <v>654</v>
      </c>
      <c r="D154" s="58"/>
      <c r="E154" s="16" t="s">
        <v>45</v>
      </c>
      <c r="F154" s="66" t="s">
        <v>1413</v>
      </c>
      <c r="G154" s="58"/>
      <c r="H154" s="123"/>
      <c r="I154" s="58"/>
      <c r="J154" s="839">
        <v>4547765251</v>
      </c>
      <c r="K154" s="18" t="s">
        <v>656</v>
      </c>
      <c r="L154" s="18" t="s">
        <v>657</v>
      </c>
      <c r="M154" s="16" t="s">
        <v>73</v>
      </c>
      <c r="N154" s="829"/>
      <c r="O154" s="16"/>
      <c r="P154" s="16"/>
      <c r="Q154" s="16"/>
      <c r="R154" s="16"/>
      <c r="S154" s="16"/>
      <c r="T154" s="16"/>
      <c r="U154" s="16"/>
      <c r="W154" s="16">
        <v>2</v>
      </c>
      <c r="X154" s="16" t="s">
        <v>658</v>
      </c>
      <c r="Y154" s="16">
        <v>100</v>
      </c>
      <c r="Z154" s="679" t="s">
        <v>427</v>
      </c>
    </row>
    <row r="155" spans="1:50" s="18" customFormat="1" ht="27.6">
      <c r="A155" s="18" t="s">
        <v>676</v>
      </c>
      <c r="B155" s="583">
        <v>45714</v>
      </c>
      <c r="C155" s="18" t="s">
        <v>701</v>
      </c>
      <c r="D155" s="58"/>
      <c r="E155" s="16"/>
      <c r="F155" s="66"/>
      <c r="G155" s="58"/>
      <c r="H155" s="369" t="s">
        <v>700</v>
      </c>
      <c r="I155" s="58"/>
      <c r="J155" s="839"/>
      <c r="K155" s="18" t="s">
        <v>662</v>
      </c>
      <c r="L155" s="18" t="s">
        <v>664</v>
      </c>
      <c r="M155" s="16" t="s">
        <v>73</v>
      </c>
      <c r="N155" s="829"/>
      <c r="O155" s="16"/>
      <c r="P155" s="16"/>
      <c r="Q155" s="16"/>
      <c r="R155" s="16"/>
      <c r="S155" s="16"/>
      <c r="T155" s="16"/>
      <c r="U155" s="16"/>
      <c r="W155" s="16"/>
      <c r="X155" s="16"/>
      <c r="Y155" s="16"/>
      <c r="Z155" s="679" t="s">
        <v>661</v>
      </c>
    </row>
    <row r="156" spans="1:50" s="18" customFormat="1" ht="27.6">
      <c r="A156" s="18" t="s">
        <v>98</v>
      </c>
      <c r="B156" s="583">
        <v>45720</v>
      </c>
      <c r="C156" s="513" t="s">
        <v>666</v>
      </c>
      <c r="D156" s="58"/>
      <c r="E156" s="16" t="s">
        <v>774</v>
      </c>
      <c r="F156" s="66">
        <v>45721</v>
      </c>
      <c r="G156" s="58"/>
      <c r="H156" s="970" t="s">
        <v>667</v>
      </c>
      <c r="I156" s="971" t="s">
        <v>746</v>
      </c>
      <c r="J156" s="839">
        <v>4545261781</v>
      </c>
      <c r="K156" s="18" t="s">
        <v>729</v>
      </c>
      <c r="L156" s="18" t="s">
        <v>668</v>
      </c>
      <c r="M156" s="16" t="s">
        <v>73</v>
      </c>
      <c r="N156" s="829"/>
      <c r="O156" s="16"/>
      <c r="P156" s="16"/>
      <c r="Q156" s="16"/>
      <c r="R156" s="16"/>
      <c r="S156" s="16"/>
      <c r="T156" s="16"/>
      <c r="U156" s="16"/>
      <c r="W156" s="16">
        <v>1</v>
      </c>
      <c r="X156" s="16">
        <v>95.31</v>
      </c>
      <c r="Y156" s="16">
        <v>144</v>
      </c>
      <c r="Z156" s="679" t="s">
        <v>279</v>
      </c>
    </row>
    <row r="157" spans="1:50" s="18" customFormat="1">
      <c r="B157" s="583"/>
      <c r="C157" s="513"/>
      <c r="D157" s="58"/>
      <c r="E157" s="16"/>
      <c r="F157" s="66"/>
      <c r="G157" s="58"/>
      <c r="H157" s="970"/>
      <c r="I157" s="971"/>
      <c r="J157" s="839">
        <v>4545295726</v>
      </c>
      <c r="M157" s="16"/>
      <c r="N157" s="829"/>
      <c r="O157" s="16"/>
      <c r="P157" s="16"/>
      <c r="Q157" s="16"/>
      <c r="R157" s="16"/>
      <c r="S157" s="16"/>
      <c r="T157" s="16"/>
      <c r="U157" s="16"/>
      <c r="W157" s="16"/>
      <c r="X157" s="16"/>
      <c r="Y157" s="16"/>
      <c r="Z157" s="679"/>
    </row>
    <row r="158" spans="1:50" s="18" customFormat="1" ht="41.4">
      <c r="A158" s="18" t="s">
        <v>302</v>
      </c>
      <c r="B158" s="583">
        <v>45721</v>
      </c>
      <c r="C158" s="18" t="s">
        <v>669</v>
      </c>
      <c r="D158" s="58"/>
      <c r="E158" s="16" t="s">
        <v>45</v>
      </c>
      <c r="F158" s="66" t="s">
        <v>809</v>
      </c>
      <c r="G158" s="58"/>
      <c r="H158" s="123"/>
      <c r="I158" s="693">
        <v>4545174203</v>
      </c>
      <c r="J158" s="839"/>
      <c r="K158" s="18" t="s">
        <v>670</v>
      </c>
      <c r="L158" s="18" t="s">
        <v>674</v>
      </c>
      <c r="M158" s="16" t="s">
        <v>73</v>
      </c>
      <c r="N158" s="829"/>
      <c r="O158" s="16"/>
      <c r="P158" s="16"/>
      <c r="Q158" s="16"/>
      <c r="R158" s="16"/>
      <c r="S158" s="16"/>
      <c r="T158" s="16"/>
      <c r="U158" s="16"/>
      <c r="W158" s="16">
        <v>2</v>
      </c>
      <c r="X158" s="16" t="s">
        <v>675</v>
      </c>
      <c r="Y158" s="16">
        <v>95</v>
      </c>
      <c r="Z158" s="679" t="s">
        <v>427</v>
      </c>
    </row>
    <row r="159" spans="1:50" s="468" customFormat="1" ht="55.2">
      <c r="A159" s="468" t="s">
        <v>188</v>
      </c>
      <c r="B159" s="437">
        <v>45727</v>
      </c>
      <c r="C159" s="468" t="s">
        <v>679</v>
      </c>
      <c r="D159" s="444"/>
      <c r="E159" s="721" t="s">
        <v>45</v>
      </c>
      <c r="F159" s="437" t="s">
        <v>810</v>
      </c>
      <c r="G159" s="444" t="s">
        <v>583</v>
      </c>
      <c r="H159" s="797" t="s">
        <v>680</v>
      </c>
      <c r="I159" s="444">
        <v>4545314662</v>
      </c>
      <c r="J159" s="444" t="s">
        <v>1065</v>
      </c>
      <c r="K159" s="468" t="s">
        <v>702</v>
      </c>
      <c r="M159" s="721" t="s">
        <v>73</v>
      </c>
      <c r="N159" s="721"/>
      <c r="O159" s="721"/>
      <c r="P159" s="721"/>
      <c r="Q159" s="721"/>
      <c r="R159" s="721"/>
      <c r="S159" s="721"/>
      <c r="T159" s="721"/>
      <c r="U159" s="721"/>
      <c r="W159" s="721">
        <v>42</v>
      </c>
      <c r="X159" s="721" t="s">
        <v>703</v>
      </c>
      <c r="Y159" s="721">
        <v>3065</v>
      </c>
      <c r="Z159" s="438" t="s">
        <v>122</v>
      </c>
    </row>
    <row r="160" spans="1:50" s="18" customFormat="1" ht="27.6">
      <c r="A160" s="172" t="s">
        <v>188</v>
      </c>
      <c r="B160" s="583">
        <v>45729</v>
      </c>
      <c r="C160" s="18" t="s">
        <v>704</v>
      </c>
      <c r="D160" s="58" t="s">
        <v>142</v>
      </c>
      <c r="E160" s="16" t="s">
        <v>45</v>
      </c>
      <c r="F160" s="66">
        <v>45729</v>
      </c>
      <c r="G160" s="58" t="s">
        <v>583</v>
      </c>
      <c r="H160" s="123" t="s">
        <v>705</v>
      </c>
      <c r="I160" s="58">
        <v>4540728539</v>
      </c>
      <c r="J160" s="839">
        <v>4545183049</v>
      </c>
      <c r="K160" s="18" t="s">
        <v>715</v>
      </c>
      <c r="L160" s="524" t="s">
        <v>709</v>
      </c>
      <c r="M160" s="16" t="s">
        <v>73</v>
      </c>
      <c r="N160" s="829"/>
      <c r="O160" s="16"/>
      <c r="P160" s="16"/>
      <c r="Q160" s="16"/>
      <c r="R160" s="16"/>
      <c r="S160" s="16"/>
      <c r="T160" s="16"/>
      <c r="U160" s="16"/>
      <c r="W160" s="16">
        <v>1</v>
      </c>
      <c r="X160" s="16">
        <v>16.07</v>
      </c>
      <c r="Y160" s="16">
        <v>113</v>
      </c>
      <c r="Z160" s="679" t="s">
        <v>122</v>
      </c>
    </row>
    <row r="161" spans="1:50" s="18" customFormat="1" ht="27">
      <c r="A161" s="172" t="s">
        <v>188</v>
      </c>
      <c r="B161" s="583">
        <v>45730</v>
      </c>
      <c r="C161" s="18" t="s">
        <v>706</v>
      </c>
      <c r="D161" s="58" t="s">
        <v>142</v>
      </c>
      <c r="E161" s="16" t="s">
        <v>45</v>
      </c>
      <c r="F161" s="66" t="s">
        <v>811</v>
      </c>
      <c r="G161" s="58"/>
      <c r="H161" s="123" t="s">
        <v>707</v>
      </c>
      <c r="I161" s="58">
        <v>4544330195</v>
      </c>
      <c r="J161" s="839">
        <v>4545183229</v>
      </c>
      <c r="K161" s="18" t="s">
        <v>728</v>
      </c>
      <c r="L161" s="93" t="s">
        <v>708</v>
      </c>
      <c r="M161" s="16" t="s">
        <v>73</v>
      </c>
      <c r="N161" s="829"/>
      <c r="O161" s="16"/>
      <c r="P161" s="16"/>
      <c r="Q161" s="16"/>
      <c r="R161" s="16"/>
      <c r="S161" s="16"/>
      <c r="T161" s="16"/>
      <c r="U161" s="16"/>
      <c r="W161" s="16">
        <v>1</v>
      </c>
      <c r="X161" s="16">
        <v>11.08</v>
      </c>
      <c r="Y161" s="16">
        <v>89.3</v>
      </c>
      <c r="Z161" s="679" t="s">
        <v>122</v>
      </c>
    </row>
    <row r="162" spans="1:50" s="20" customFormat="1" ht="27.6">
      <c r="A162" s="370" t="s">
        <v>188</v>
      </c>
      <c r="B162" s="88">
        <v>45730</v>
      </c>
      <c r="C162" s="20" t="s">
        <v>710</v>
      </c>
      <c r="D162" s="96" t="s">
        <v>142</v>
      </c>
      <c r="E162" s="22" t="s">
        <v>45</v>
      </c>
      <c r="F162" s="88" t="s">
        <v>811</v>
      </c>
      <c r="G162" s="96"/>
      <c r="H162" s="202" t="s">
        <v>711</v>
      </c>
      <c r="I162" s="96">
        <v>4544370202</v>
      </c>
      <c r="J162" s="96">
        <v>4545202085</v>
      </c>
      <c r="K162" s="20" t="s">
        <v>712</v>
      </c>
      <c r="M162" s="22" t="s">
        <v>73</v>
      </c>
      <c r="N162" s="22"/>
      <c r="O162" s="22"/>
      <c r="P162" s="22"/>
      <c r="Q162" s="22"/>
      <c r="R162" s="22"/>
      <c r="S162" s="22"/>
      <c r="T162" s="22"/>
      <c r="U162" s="22"/>
      <c r="W162" s="22">
        <v>4</v>
      </c>
      <c r="X162" s="22">
        <v>12.58</v>
      </c>
      <c r="Y162" s="22" t="s">
        <v>713</v>
      </c>
      <c r="Z162" s="62" t="s">
        <v>122</v>
      </c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 spans="1:50" s="18" customFormat="1" ht="41.4">
      <c r="A163" s="128" t="s">
        <v>716</v>
      </c>
      <c r="B163" s="210">
        <v>45733</v>
      </c>
      <c r="C163" s="131" t="s">
        <v>719</v>
      </c>
      <c r="D163" s="165"/>
      <c r="E163" s="166" t="s">
        <v>45</v>
      </c>
      <c r="F163" s="206" t="s">
        <v>930</v>
      </c>
      <c r="G163" s="165" t="s">
        <v>583</v>
      </c>
      <c r="H163" s="225"/>
      <c r="I163" s="165" t="s">
        <v>1048</v>
      </c>
      <c r="J163" s="361" t="s">
        <v>1048</v>
      </c>
      <c r="K163" s="226" t="s">
        <v>718</v>
      </c>
      <c r="L163" s="227" t="s">
        <v>753</v>
      </c>
      <c r="M163" s="166" t="s">
        <v>73</v>
      </c>
      <c r="N163" s="165">
        <v>23689</v>
      </c>
      <c r="O163" s="166"/>
      <c r="P163" s="166"/>
      <c r="Q163" s="166"/>
      <c r="R163" s="166"/>
      <c r="S163" s="166"/>
      <c r="T163" s="166"/>
      <c r="U163" s="166"/>
      <c r="V163" s="128" t="s">
        <v>929</v>
      </c>
      <c r="W163" s="166">
        <v>24</v>
      </c>
      <c r="X163" s="166" t="s">
        <v>752</v>
      </c>
      <c r="Y163" s="166">
        <v>2088</v>
      </c>
      <c r="Z163" s="226" t="s">
        <v>717</v>
      </c>
    </row>
    <row r="164" spans="1:50" s="11" customFormat="1" ht="15.75" customHeight="1">
      <c r="A164" s="11" t="s">
        <v>302</v>
      </c>
      <c r="B164" s="583">
        <v>45734</v>
      </c>
      <c r="C164" s="18" t="s">
        <v>720</v>
      </c>
      <c r="D164" s="58"/>
      <c r="E164" s="7" t="s">
        <v>45</v>
      </c>
      <c r="F164" s="64">
        <v>45776</v>
      </c>
      <c r="G164" s="7" t="s">
        <v>848</v>
      </c>
      <c r="H164" s="90"/>
      <c r="I164" s="57"/>
      <c r="J164" s="358">
        <v>4545997084</v>
      </c>
      <c r="K164" s="18"/>
      <c r="L164" s="18"/>
      <c r="M164" s="7" t="s">
        <v>73</v>
      </c>
      <c r="N164" s="829"/>
      <c r="O164" s="7"/>
      <c r="P164" s="7"/>
      <c r="Q164" s="7"/>
      <c r="R164" s="158"/>
      <c r="S164" s="160"/>
      <c r="T164" s="16"/>
      <c r="U164" s="16"/>
      <c r="V164" s="138" t="s">
        <v>883</v>
      </c>
      <c r="W164" s="7">
        <v>4</v>
      </c>
      <c r="X164" s="7" t="s">
        <v>896</v>
      </c>
      <c r="Y164" s="16">
        <v>113</v>
      </c>
      <c r="Z164" s="6" t="s">
        <v>427</v>
      </c>
    </row>
    <row r="165" spans="1:50" s="11" customFormat="1" ht="33.75" customHeight="1">
      <c r="A165" s="11" t="s">
        <v>188</v>
      </c>
      <c r="B165" s="583">
        <v>45734</v>
      </c>
      <c r="C165" s="18" t="s">
        <v>780</v>
      </c>
      <c r="D165" s="58" t="s">
        <v>142</v>
      </c>
      <c r="E165" s="7" t="s">
        <v>747</v>
      </c>
      <c r="F165" s="64">
        <v>45735</v>
      </c>
      <c r="G165" s="7" t="s">
        <v>583</v>
      </c>
      <c r="H165" s="90" t="s">
        <v>727</v>
      </c>
      <c r="I165" s="57" t="s">
        <v>733</v>
      </c>
      <c r="J165" s="57">
        <v>4545273768</v>
      </c>
      <c r="K165" s="18" t="s">
        <v>722</v>
      </c>
      <c r="L165" s="18"/>
      <c r="M165" s="7" t="s">
        <v>73</v>
      </c>
      <c r="N165" s="829"/>
      <c r="O165" s="16"/>
      <c r="P165" s="16"/>
      <c r="Q165" s="16"/>
      <c r="R165" s="16"/>
      <c r="S165" s="16"/>
      <c r="T165" s="16"/>
      <c r="U165" s="16"/>
      <c r="W165" s="7">
        <v>3</v>
      </c>
      <c r="X165" s="7">
        <v>5.96</v>
      </c>
      <c r="Y165" s="16">
        <v>97</v>
      </c>
      <c r="Z165" s="6" t="s">
        <v>122</v>
      </c>
    </row>
    <row r="166" spans="1:50" s="11" customFormat="1" ht="12" customHeight="1">
      <c r="A166" s="56" t="s">
        <v>188</v>
      </c>
      <c r="B166" s="583">
        <v>45735</v>
      </c>
      <c r="C166" s="513" t="s">
        <v>750</v>
      </c>
      <c r="D166" s="58" t="s">
        <v>142</v>
      </c>
      <c r="E166" s="16" t="s">
        <v>45</v>
      </c>
      <c r="F166" s="64">
        <v>45741</v>
      </c>
      <c r="G166" s="16" t="s">
        <v>583</v>
      </c>
      <c r="H166" s="123" t="s">
        <v>723</v>
      </c>
      <c r="I166" s="58">
        <v>4543891656</v>
      </c>
      <c r="J166" s="57"/>
      <c r="K166" s="18" t="s">
        <v>724</v>
      </c>
      <c r="L166" s="11" t="s">
        <v>794</v>
      </c>
      <c r="M166" s="7" t="s">
        <v>73</v>
      </c>
      <c r="N166" s="829"/>
      <c r="O166" s="16"/>
      <c r="P166" s="16"/>
      <c r="Q166" s="16"/>
      <c r="R166" s="16"/>
      <c r="S166" s="16"/>
      <c r="T166" s="16"/>
      <c r="U166" s="16"/>
      <c r="W166" s="7">
        <v>1</v>
      </c>
      <c r="X166" s="16" t="s">
        <v>751</v>
      </c>
      <c r="Y166" s="16">
        <v>290</v>
      </c>
      <c r="Z166" s="6" t="s">
        <v>122</v>
      </c>
    </row>
    <row r="167" spans="1:50" s="11" customFormat="1" ht="12" customHeight="1">
      <c r="A167" s="11" t="s">
        <v>721</v>
      </c>
      <c r="B167" s="583">
        <v>45735</v>
      </c>
      <c r="C167" s="18" t="s">
        <v>725</v>
      </c>
      <c r="D167" s="58" t="s">
        <v>142</v>
      </c>
      <c r="E167" s="7" t="s">
        <v>45</v>
      </c>
      <c r="F167" s="64" t="s">
        <v>812</v>
      </c>
      <c r="G167" s="7"/>
      <c r="H167" s="90" t="s">
        <v>726</v>
      </c>
      <c r="I167" s="58">
        <v>4544529609</v>
      </c>
      <c r="J167" s="57"/>
      <c r="K167" s="18" t="s">
        <v>712</v>
      </c>
      <c r="L167" s="11" t="s">
        <v>795</v>
      </c>
      <c r="M167" s="7" t="s">
        <v>73</v>
      </c>
      <c r="N167" s="7"/>
      <c r="O167" s="16"/>
      <c r="P167" s="16"/>
      <c r="Q167" s="16"/>
      <c r="R167" s="16"/>
      <c r="S167" s="16"/>
      <c r="T167" s="16"/>
      <c r="U167" s="16"/>
      <c r="W167" s="7">
        <v>4</v>
      </c>
      <c r="X167" s="7">
        <v>12.58</v>
      </c>
      <c r="Y167" s="16">
        <v>129</v>
      </c>
      <c r="Z167" s="3" t="s">
        <v>122</v>
      </c>
    </row>
    <row r="168" spans="1:50" s="20" customFormat="1" ht="48" customHeight="1">
      <c r="A168" s="152" t="s">
        <v>782</v>
      </c>
      <c r="B168" s="154">
        <v>45737</v>
      </c>
      <c r="C168" s="155" t="s">
        <v>730</v>
      </c>
      <c r="D168" s="153"/>
      <c r="E168" s="16" t="s">
        <v>45</v>
      </c>
      <c r="F168" s="156" t="s">
        <v>998</v>
      </c>
      <c r="G168" s="151" t="s">
        <v>583</v>
      </c>
      <c r="H168" s="123"/>
      <c r="I168" s="58"/>
      <c r="J168" s="57"/>
      <c r="K168" s="18" t="s">
        <v>781</v>
      </c>
      <c r="L168" s="18" t="s">
        <v>853</v>
      </c>
      <c r="M168" s="16" t="s">
        <v>73</v>
      </c>
      <c r="N168" s="829"/>
      <c r="O168" s="16"/>
      <c r="P168" s="16"/>
      <c r="Q168" s="16"/>
      <c r="R168" s="16"/>
      <c r="S168" s="16"/>
      <c r="T168" s="16"/>
      <c r="U168" s="16"/>
      <c r="V168" s="18"/>
      <c r="W168" s="16">
        <v>2</v>
      </c>
      <c r="X168" s="16"/>
      <c r="Y168" s="153">
        <v>209</v>
      </c>
      <c r="Z168" s="679" t="s">
        <v>820</v>
      </c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 spans="1:50" s="11" customFormat="1" ht="27" customHeight="1">
      <c r="A169" s="18" t="s">
        <v>184</v>
      </c>
      <c r="B169" s="583">
        <v>45740</v>
      </c>
      <c r="C169" s="18" t="s">
        <v>731</v>
      </c>
      <c r="D169" s="58"/>
      <c r="E169" s="16"/>
      <c r="F169" s="66"/>
      <c r="G169" s="124" t="s">
        <v>796</v>
      </c>
      <c r="H169" s="6" t="s">
        <v>732</v>
      </c>
      <c r="I169" s="58"/>
      <c r="J169" s="57"/>
      <c r="K169" s="346"/>
      <c r="L169" s="524" t="s">
        <v>1839</v>
      </c>
      <c r="M169" s="16" t="s">
        <v>73</v>
      </c>
      <c r="N169" s="829"/>
      <c r="O169" s="16"/>
      <c r="P169" s="16"/>
      <c r="Q169" s="16"/>
      <c r="R169" s="16"/>
      <c r="S169" s="16"/>
      <c r="T169" s="16"/>
      <c r="U169" s="16"/>
      <c r="W169" s="16"/>
      <c r="X169" s="16"/>
      <c r="Y169" s="16"/>
      <c r="Z169" s="679" t="s">
        <v>122</v>
      </c>
    </row>
    <row r="170" spans="1:50" s="11" customFormat="1" ht="33" customHeight="1">
      <c r="A170" s="54" t="s">
        <v>188</v>
      </c>
      <c r="B170" s="583">
        <v>45740</v>
      </c>
      <c r="C170" s="513" t="s">
        <v>743</v>
      </c>
      <c r="D170" s="58"/>
      <c r="E170" s="7"/>
      <c r="F170" s="64"/>
      <c r="G170" s="124" t="s">
        <v>796</v>
      </c>
      <c r="H170" s="6" t="s">
        <v>745</v>
      </c>
      <c r="I170" s="57"/>
      <c r="J170" s="57"/>
      <c r="K170" s="18"/>
      <c r="L170" s="16" t="s">
        <v>744</v>
      </c>
      <c r="M170" s="7" t="s">
        <v>73</v>
      </c>
      <c r="N170" s="7"/>
      <c r="O170" s="16"/>
      <c r="P170" s="16"/>
      <c r="Q170" s="16"/>
      <c r="R170" s="16"/>
      <c r="S170" s="16"/>
      <c r="T170" s="16"/>
      <c r="U170" s="16"/>
      <c r="W170" s="7"/>
      <c r="X170" s="7"/>
      <c r="Y170" s="16"/>
      <c r="Z170" s="97" t="s">
        <v>122</v>
      </c>
    </row>
    <row r="171" spans="1:50" s="11" customFormat="1" ht="12" customHeight="1">
      <c r="A171" s="26" t="s">
        <v>188</v>
      </c>
      <c r="B171" s="583">
        <v>45741</v>
      </c>
      <c r="C171" s="18" t="s">
        <v>748</v>
      </c>
      <c r="D171" s="58"/>
      <c r="E171" s="7" t="s">
        <v>671</v>
      </c>
      <c r="F171" s="64"/>
      <c r="G171" s="7"/>
      <c r="H171" s="6" t="s">
        <v>860</v>
      </c>
      <c r="I171" s="57" t="s">
        <v>773</v>
      </c>
      <c r="J171" s="57"/>
      <c r="K171" s="18"/>
      <c r="L171" s="18" t="s">
        <v>749</v>
      </c>
      <c r="M171" s="7" t="s">
        <v>73</v>
      </c>
      <c r="N171" s="829"/>
      <c r="O171" s="16"/>
      <c r="P171" s="16"/>
      <c r="Q171" s="16"/>
      <c r="R171" s="16"/>
      <c r="S171" s="16"/>
      <c r="T171" s="16"/>
      <c r="U171" s="16"/>
      <c r="W171" s="7"/>
      <c r="X171" s="7"/>
      <c r="Y171" s="16"/>
      <c r="Z171" s="6" t="s">
        <v>122</v>
      </c>
    </row>
    <row r="172" spans="1:50" s="18" customFormat="1" ht="42" customHeight="1">
      <c r="A172" s="172" t="s">
        <v>188</v>
      </c>
      <c r="B172" s="583">
        <v>45741</v>
      </c>
      <c r="C172" s="18" t="s">
        <v>754</v>
      </c>
      <c r="D172" s="58"/>
      <c r="E172" s="16" t="s">
        <v>45</v>
      </c>
      <c r="F172" s="66">
        <v>45741</v>
      </c>
      <c r="G172" s="16" t="s">
        <v>833</v>
      </c>
      <c r="H172" s="56" t="s">
        <v>755</v>
      </c>
      <c r="I172" s="58">
        <v>4544345587</v>
      </c>
      <c r="J172" s="57">
        <v>4545331431</v>
      </c>
      <c r="L172" s="525" t="s">
        <v>987</v>
      </c>
      <c r="M172" s="16" t="s">
        <v>73</v>
      </c>
      <c r="N172" s="829"/>
      <c r="O172" s="16"/>
      <c r="P172" s="16"/>
      <c r="Q172" s="16"/>
      <c r="R172" s="16"/>
      <c r="S172" s="16"/>
      <c r="T172" s="16"/>
      <c r="U172" s="16"/>
      <c r="W172" s="16">
        <v>18</v>
      </c>
      <c r="X172" s="16"/>
      <c r="Y172" s="16">
        <v>763</v>
      </c>
      <c r="Z172" s="679" t="s">
        <v>122</v>
      </c>
    </row>
    <row r="173" spans="1:50" s="11" customFormat="1" ht="39" customHeight="1">
      <c r="A173" s="11" t="s">
        <v>758</v>
      </c>
      <c r="B173" s="583">
        <v>45835</v>
      </c>
      <c r="C173" s="18" t="s">
        <v>759</v>
      </c>
      <c r="D173" s="58"/>
      <c r="E173" s="7" t="s">
        <v>45</v>
      </c>
      <c r="F173" s="64">
        <v>45750</v>
      </c>
      <c r="G173" s="7" t="s">
        <v>583</v>
      </c>
      <c r="H173" s="90" t="s">
        <v>778</v>
      </c>
      <c r="I173" s="57"/>
      <c r="J173" s="57"/>
      <c r="K173" s="18"/>
      <c r="L173" s="94" t="s">
        <v>986</v>
      </c>
      <c r="M173" s="7" t="s">
        <v>73</v>
      </c>
      <c r="N173" s="829"/>
      <c r="O173" s="16"/>
      <c r="P173" s="16"/>
      <c r="Q173" s="16"/>
      <c r="R173" s="16"/>
      <c r="S173" s="16"/>
      <c r="T173" s="16"/>
      <c r="U173" s="16"/>
      <c r="W173" s="7"/>
      <c r="X173" s="7"/>
      <c r="Y173" s="16">
        <v>173</v>
      </c>
      <c r="Z173" s="6" t="s">
        <v>760</v>
      </c>
    </row>
    <row r="174" spans="1:50" s="11" customFormat="1" ht="14.25" customHeight="1">
      <c r="A174" s="31" t="s">
        <v>188</v>
      </c>
      <c r="B174" s="88">
        <v>45743</v>
      </c>
      <c r="C174" s="20" t="s">
        <v>762</v>
      </c>
      <c r="D174" s="96" t="s">
        <v>142</v>
      </c>
      <c r="E174" s="34" t="s">
        <v>45</v>
      </c>
      <c r="F174" s="79">
        <v>45743</v>
      </c>
      <c r="G174" s="34"/>
      <c r="H174" s="91" t="s">
        <v>763</v>
      </c>
      <c r="I174" s="111">
        <v>4544072602</v>
      </c>
      <c r="J174" s="111">
        <v>4545343799</v>
      </c>
      <c r="K174" s="18"/>
      <c r="L174" s="19" t="s">
        <v>761</v>
      </c>
      <c r="M174" s="34" t="s">
        <v>73</v>
      </c>
      <c r="N174" s="22" t="s">
        <v>786</v>
      </c>
      <c r="O174" s="22"/>
      <c r="P174" s="22"/>
      <c r="Q174" s="22"/>
      <c r="R174" s="22" t="s">
        <v>15</v>
      </c>
      <c r="S174" s="22">
        <v>0.5</v>
      </c>
      <c r="T174" s="22">
        <v>150</v>
      </c>
      <c r="U174" s="121">
        <v>1</v>
      </c>
      <c r="V174" s="19" t="s">
        <v>775</v>
      </c>
      <c r="W174" s="34">
        <v>2</v>
      </c>
      <c r="X174" s="34">
        <v>34.39</v>
      </c>
      <c r="Y174" s="22">
        <v>117</v>
      </c>
      <c r="Z174" s="685" t="s">
        <v>309</v>
      </c>
    </row>
    <row r="175" spans="1:50" s="11" customFormat="1" ht="12" customHeight="1">
      <c r="A175" s="26" t="s">
        <v>98</v>
      </c>
      <c r="B175" s="583">
        <v>45748</v>
      </c>
      <c r="C175" s="18" t="s">
        <v>776</v>
      </c>
      <c r="D175" s="58"/>
      <c r="E175" s="7" t="s">
        <v>45</v>
      </c>
      <c r="F175" s="64" t="s">
        <v>813</v>
      </c>
      <c r="G175" s="7" t="s">
        <v>583</v>
      </c>
      <c r="H175" s="90"/>
      <c r="I175" s="57"/>
      <c r="J175" s="57">
        <v>4545509579</v>
      </c>
      <c r="K175" s="18"/>
      <c r="L175" s="11" t="s">
        <v>985</v>
      </c>
      <c r="M175" s="7" t="s">
        <v>73</v>
      </c>
      <c r="N175" s="829"/>
      <c r="O175" s="16" t="s">
        <v>871</v>
      </c>
      <c r="P175" s="16"/>
      <c r="Q175" s="16"/>
      <c r="R175" s="16"/>
      <c r="S175" s="16">
        <v>1</v>
      </c>
      <c r="T175" s="16"/>
      <c r="U175" s="112">
        <v>1</v>
      </c>
      <c r="W175" s="7">
        <v>1</v>
      </c>
      <c r="X175" s="7">
        <v>876.49</v>
      </c>
      <c r="Y175" s="16">
        <v>955</v>
      </c>
      <c r="Z175" s="6" t="s">
        <v>279</v>
      </c>
    </row>
    <row r="176" spans="1:50" s="20" customFormat="1" ht="57.75" customHeight="1">
      <c r="A176" s="20" t="s">
        <v>779</v>
      </c>
      <c r="B176" s="88">
        <v>45749</v>
      </c>
      <c r="C176" s="20" t="s">
        <v>777</v>
      </c>
      <c r="D176" s="96"/>
      <c r="E176" s="22" t="s">
        <v>45</v>
      </c>
      <c r="F176" s="88">
        <v>45749</v>
      </c>
      <c r="G176" s="22"/>
      <c r="H176" s="202" t="s">
        <v>947</v>
      </c>
      <c r="I176" s="96"/>
      <c r="J176" s="111">
        <v>4545522440</v>
      </c>
      <c r="K176" s="274"/>
      <c r="L176" s="274" t="s">
        <v>872</v>
      </c>
      <c r="M176" s="22" t="s">
        <v>73</v>
      </c>
      <c r="N176" s="22"/>
      <c r="O176" s="22"/>
      <c r="P176" s="22"/>
      <c r="Q176" s="22"/>
      <c r="R176" s="22"/>
      <c r="S176" s="22"/>
      <c r="T176" s="22"/>
      <c r="U176" s="22"/>
      <c r="W176" s="22">
        <v>8</v>
      </c>
      <c r="X176" s="22"/>
      <c r="Y176" s="22">
        <v>222</v>
      </c>
      <c r="Z176" s="62" t="s">
        <v>678</v>
      </c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26" s="11" customFormat="1" ht="12" customHeight="1">
      <c r="A177" s="26" t="s">
        <v>829</v>
      </c>
      <c r="B177" s="583">
        <v>45754</v>
      </c>
      <c r="C177" s="18" t="s">
        <v>828</v>
      </c>
      <c r="D177" s="58"/>
      <c r="E177" s="7" t="s">
        <v>45</v>
      </c>
      <c r="F177" s="64">
        <v>45761</v>
      </c>
      <c r="G177" s="7" t="s">
        <v>583</v>
      </c>
      <c r="H177" s="90" t="s">
        <v>885</v>
      </c>
      <c r="I177" s="57"/>
      <c r="J177" s="57">
        <v>4545624217</v>
      </c>
      <c r="K177" s="18"/>
      <c r="L177" s="18" t="s">
        <v>984</v>
      </c>
      <c r="M177" s="7" t="s">
        <v>73</v>
      </c>
      <c r="N177" s="829">
        <v>24362</v>
      </c>
      <c r="O177" s="16" t="s">
        <v>837</v>
      </c>
      <c r="P177" s="16"/>
      <c r="Q177" s="16"/>
      <c r="R177" s="16"/>
      <c r="S177" s="16">
        <v>1</v>
      </c>
      <c r="T177" s="16"/>
      <c r="U177" s="112">
        <v>1</v>
      </c>
      <c r="W177" s="7"/>
      <c r="X177" s="7"/>
      <c r="Y177" s="304">
        <v>1171</v>
      </c>
      <c r="Z177" s="6" t="s">
        <v>830</v>
      </c>
    </row>
    <row r="178" spans="1:26" s="11" customFormat="1" ht="12" customHeight="1">
      <c r="A178" s="11" t="s">
        <v>184</v>
      </c>
      <c r="B178" s="583">
        <v>45754</v>
      </c>
      <c r="C178" s="18" t="s">
        <v>831</v>
      </c>
      <c r="D178" s="58"/>
      <c r="E178" s="7" t="s">
        <v>671</v>
      </c>
      <c r="F178" s="64">
        <v>45757</v>
      </c>
      <c r="G178" s="7" t="s">
        <v>583</v>
      </c>
      <c r="H178" s="90"/>
      <c r="I178" s="57"/>
      <c r="J178" s="57"/>
      <c r="K178" s="18"/>
      <c r="L178" s="11" t="s">
        <v>832</v>
      </c>
      <c r="M178" s="7" t="s">
        <v>73</v>
      </c>
      <c r="N178" s="829" t="s">
        <v>15</v>
      </c>
      <c r="O178" s="16" t="s">
        <v>838</v>
      </c>
      <c r="P178" s="16"/>
      <c r="Q178" s="16"/>
      <c r="R178" s="16"/>
      <c r="S178" s="16">
        <v>0.5</v>
      </c>
      <c r="T178" s="16"/>
      <c r="U178" s="112">
        <v>1</v>
      </c>
      <c r="W178" s="7"/>
      <c r="X178" s="7"/>
      <c r="Y178" s="16"/>
      <c r="Z178" s="6" t="s">
        <v>122</v>
      </c>
    </row>
    <row r="179" spans="1:26" s="11" customFormat="1" ht="12" customHeight="1">
      <c r="A179" s="26" t="s">
        <v>98</v>
      </c>
      <c r="B179" s="583">
        <v>45755</v>
      </c>
      <c r="C179" s="18" t="s">
        <v>834</v>
      </c>
      <c r="D179" s="58"/>
      <c r="E179" s="7" t="s">
        <v>671</v>
      </c>
      <c r="F179" s="64">
        <v>45757</v>
      </c>
      <c r="G179" s="7"/>
      <c r="H179" s="140"/>
      <c r="I179" s="57"/>
      <c r="J179" s="57"/>
      <c r="K179" s="18"/>
      <c r="L179" s="11" t="s">
        <v>983</v>
      </c>
      <c r="M179" s="7" t="s">
        <v>73</v>
      </c>
      <c r="N179" s="829" t="s">
        <v>15</v>
      </c>
      <c r="O179" s="16" t="s">
        <v>30</v>
      </c>
      <c r="P179" s="16"/>
      <c r="Q179" s="16"/>
      <c r="R179" s="16"/>
      <c r="S179" s="16" t="s">
        <v>15</v>
      </c>
      <c r="T179" s="16"/>
      <c r="U179" s="112">
        <v>1</v>
      </c>
      <c r="W179" s="7"/>
      <c r="X179" s="7"/>
      <c r="Y179" s="16"/>
      <c r="Z179" s="6" t="s">
        <v>279</v>
      </c>
    </row>
    <row r="180" spans="1:26" s="11" customFormat="1" ht="12" customHeight="1">
      <c r="A180" s="11" t="s">
        <v>375</v>
      </c>
      <c r="B180" s="583">
        <v>45755</v>
      </c>
      <c r="C180" s="18" t="s">
        <v>836</v>
      </c>
      <c r="D180" s="58"/>
      <c r="E180" s="7" t="s">
        <v>45</v>
      </c>
      <c r="F180" s="64">
        <v>45761</v>
      </c>
      <c r="G180" s="7" t="s">
        <v>583</v>
      </c>
      <c r="H180" s="140"/>
      <c r="I180" s="57"/>
      <c r="J180" s="358">
        <v>4546651513</v>
      </c>
      <c r="K180" s="18"/>
      <c r="L180" s="18"/>
      <c r="M180" s="7" t="s">
        <v>73</v>
      </c>
      <c r="N180" s="829">
        <v>24363</v>
      </c>
      <c r="O180" s="16" t="s">
        <v>859</v>
      </c>
      <c r="P180" s="16"/>
      <c r="Q180" s="16"/>
      <c r="R180" s="16"/>
      <c r="S180" s="16">
        <v>1</v>
      </c>
      <c r="T180" s="16"/>
      <c r="U180" s="112">
        <v>1</v>
      </c>
      <c r="W180" s="7"/>
      <c r="X180" s="7"/>
      <c r="Y180" s="252">
        <v>2395</v>
      </c>
      <c r="Z180" s="6" t="s">
        <v>835</v>
      </c>
    </row>
    <row r="181" spans="1:26" s="11" customFormat="1" ht="12" customHeight="1">
      <c r="A181" s="11" t="s">
        <v>184</v>
      </c>
      <c r="B181" s="583">
        <v>45756</v>
      </c>
      <c r="C181" s="18" t="s">
        <v>839</v>
      </c>
      <c r="D181" s="58" t="s">
        <v>142</v>
      </c>
      <c r="E181" s="7" t="s">
        <v>45</v>
      </c>
      <c r="F181" s="64">
        <v>45762</v>
      </c>
      <c r="G181" s="7" t="s">
        <v>583</v>
      </c>
      <c r="H181" s="140"/>
      <c r="I181" s="57">
        <v>4541164232</v>
      </c>
      <c r="J181" s="57">
        <v>4545566015</v>
      </c>
      <c r="K181" s="18"/>
      <c r="L181" s="11" t="s">
        <v>858</v>
      </c>
      <c r="M181" s="7" t="s">
        <v>73</v>
      </c>
      <c r="N181" s="829">
        <v>24410</v>
      </c>
      <c r="O181" s="16" t="s">
        <v>863</v>
      </c>
      <c r="P181" s="16"/>
      <c r="Q181" s="16"/>
      <c r="R181" s="16"/>
      <c r="S181" s="16">
        <v>0.5</v>
      </c>
      <c r="T181" s="16"/>
      <c r="U181" s="112">
        <v>1</v>
      </c>
      <c r="W181" s="7"/>
      <c r="X181" s="7"/>
      <c r="Y181" s="16">
        <v>321</v>
      </c>
      <c r="Z181" s="6" t="s">
        <v>122</v>
      </c>
    </row>
    <row r="182" spans="1:26" s="11" customFormat="1" ht="15" customHeight="1">
      <c r="A182" s="26" t="s">
        <v>98</v>
      </c>
      <c r="B182" s="583">
        <v>45756</v>
      </c>
      <c r="C182" s="18" t="s">
        <v>840</v>
      </c>
      <c r="D182" s="58"/>
      <c r="E182" s="7" t="s">
        <v>671</v>
      </c>
      <c r="F182" s="64">
        <v>45757</v>
      </c>
      <c r="G182" s="7"/>
      <c r="H182" s="140" t="s">
        <v>841</v>
      </c>
      <c r="I182" s="57"/>
      <c r="J182" s="57"/>
      <c r="K182" s="168"/>
      <c r="L182" s="18"/>
      <c r="M182" s="7" t="s">
        <v>73</v>
      </c>
      <c r="N182" s="829" t="s">
        <v>15</v>
      </c>
      <c r="O182" s="16" t="s">
        <v>838</v>
      </c>
      <c r="P182" s="16"/>
      <c r="Q182" s="16"/>
      <c r="R182" s="16"/>
      <c r="S182" s="16">
        <v>0.5</v>
      </c>
      <c r="T182" s="16"/>
      <c r="U182" s="112">
        <v>1</v>
      </c>
      <c r="W182" s="7"/>
      <c r="X182" s="7"/>
      <c r="Y182" s="16"/>
      <c r="Z182" s="6" t="s">
        <v>279</v>
      </c>
    </row>
    <row r="183" spans="1:26" s="11" customFormat="1" ht="12" customHeight="1">
      <c r="A183" s="11" t="s">
        <v>842</v>
      </c>
      <c r="B183" s="583">
        <v>45756</v>
      </c>
      <c r="C183" s="18" t="s">
        <v>844</v>
      </c>
      <c r="D183" s="58"/>
      <c r="E183" s="7" t="s">
        <v>45</v>
      </c>
      <c r="F183" s="64">
        <v>45757</v>
      </c>
      <c r="G183" s="7" t="s">
        <v>848</v>
      </c>
      <c r="H183" s="140" t="s">
        <v>843</v>
      </c>
      <c r="I183" s="57"/>
      <c r="J183" s="57"/>
      <c r="K183" s="168"/>
      <c r="L183" s="18"/>
      <c r="M183" s="7" t="s">
        <v>73</v>
      </c>
      <c r="N183" s="829"/>
      <c r="O183" s="16" t="s">
        <v>847</v>
      </c>
      <c r="P183" s="16"/>
      <c r="Q183" s="16"/>
      <c r="R183" s="16"/>
      <c r="S183" s="16">
        <v>0.5</v>
      </c>
      <c r="T183" s="16"/>
      <c r="U183" s="112">
        <v>1</v>
      </c>
      <c r="W183" s="7">
        <v>1</v>
      </c>
      <c r="X183" s="7">
        <v>20.76</v>
      </c>
      <c r="Y183" s="16">
        <v>99</v>
      </c>
      <c r="Z183" s="6" t="s">
        <v>852</v>
      </c>
    </row>
    <row r="184" spans="1:26" s="11" customFormat="1" ht="12" customHeight="1">
      <c r="A184" s="11" t="s">
        <v>842</v>
      </c>
      <c r="B184" s="583">
        <v>45756</v>
      </c>
      <c r="C184" s="18" t="s">
        <v>845</v>
      </c>
      <c r="D184" s="58" t="s">
        <v>142</v>
      </c>
      <c r="E184" s="7" t="s">
        <v>45</v>
      </c>
      <c r="F184" s="64">
        <v>45763</v>
      </c>
      <c r="G184" s="7" t="s">
        <v>848</v>
      </c>
      <c r="H184" s="140" t="s">
        <v>846</v>
      </c>
      <c r="I184" s="57">
        <v>4541380175</v>
      </c>
      <c r="J184" s="57">
        <v>4545587463</v>
      </c>
      <c r="K184" s="18"/>
      <c r="L184" s="11" t="s">
        <v>862</v>
      </c>
      <c r="M184" s="7" t="s">
        <v>73</v>
      </c>
      <c r="N184" s="829"/>
      <c r="O184" s="16" t="s">
        <v>861</v>
      </c>
      <c r="P184" s="16"/>
      <c r="Q184" s="16"/>
      <c r="R184" s="16"/>
      <c r="S184" s="16">
        <v>1</v>
      </c>
      <c r="T184" s="16"/>
      <c r="U184" s="112">
        <v>1</v>
      </c>
      <c r="V184" s="13" t="s">
        <v>870</v>
      </c>
      <c r="W184" s="7"/>
      <c r="X184" s="7"/>
      <c r="Y184" s="16">
        <v>152</v>
      </c>
      <c r="Z184" s="6" t="s">
        <v>852</v>
      </c>
    </row>
    <row r="185" spans="1:26" s="18" customFormat="1" ht="26.25" customHeight="1">
      <c r="A185" s="20" t="s">
        <v>850</v>
      </c>
      <c r="B185" s="88">
        <v>45756</v>
      </c>
      <c r="C185" s="20" t="s">
        <v>873</v>
      </c>
      <c r="D185" s="96"/>
      <c r="E185" s="22" t="s">
        <v>45</v>
      </c>
      <c r="F185" s="66">
        <v>45758</v>
      </c>
      <c r="G185" s="22"/>
      <c r="H185" s="274" t="s">
        <v>851</v>
      </c>
      <c r="I185" s="96"/>
      <c r="J185" s="372" t="s">
        <v>1047</v>
      </c>
      <c r="K185" s="126"/>
      <c r="L185" s="148" t="s">
        <v>849</v>
      </c>
      <c r="M185" s="22" t="s">
        <v>73</v>
      </c>
      <c r="N185" s="22" t="s">
        <v>15</v>
      </c>
      <c r="O185" s="22" t="s">
        <v>864</v>
      </c>
      <c r="P185" s="22"/>
      <c r="Q185" s="22"/>
      <c r="R185" s="22"/>
      <c r="S185" s="22">
        <v>0.5</v>
      </c>
      <c r="T185" s="22"/>
      <c r="U185" s="121">
        <v>1</v>
      </c>
      <c r="V185" s="20"/>
      <c r="W185" s="22"/>
      <c r="X185" s="22"/>
      <c r="Y185" s="22"/>
      <c r="Z185" s="62" t="s">
        <v>869</v>
      </c>
    </row>
    <row r="186" spans="1:26" s="18" customFormat="1" ht="22.5" customHeight="1">
      <c r="A186" s="18" t="s">
        <v>302</v>
      </c>
      <c r="B186" s="583">
        <v>45761</v>
      </c>
      <c r="C186" s="130" t="s">
        <v>854</v>
      </c>
      <c r="D186" s="58" t="s">
        <v>15</v>
      </c>
      <c r="E186" s="16" t="s">
        <v>45</v>
      </c>
      <c r="F186" s="100" t="s">
        <v>1026</v>
      </c>
      <c r="G186" s="16" t="s">
        <v>848</v>
      </c>
      <c r="H186" s="141" t="s">
        <v>876</v>
      </c>
      <c r="I186" s="58"/>
      <c r="J186" s="57"/>
      <c r="K186" s="135"/>
      <c r="L186" s="135" t="s">
        <v>855</v>
      </c>
      <c r="M186" s="16" t="s">
        <v>73</v>
      </c>
      <c r="N186" s="828"/>
      <c r="O186" s="124" t="s">
        <v>927</v>
      </c>
      <c r="P186" s="124"/>
      <c r="Q186" s="124"/>
      <c r="R186" s="16"/>
      <c r="S186" s="16">
        <v>0.5</v>
      </c>
      <c r="T186" s="16"/>
      <c r="U186" s="129">
        <v>0.5</v>
      </c>
      <c r="V186" s="136" t="s">
        <v>928</v>
      </c>
      <c r="W186" s="16">
        <v>13</v>
      </c>
      <c r="X186" s="16">
        <v>4.1900000000000004</v>
      </c>
      <c r="Y186" s="16">
        <v>133</v>
      </c>
      <c r="Z186" s="679" t="s">
        <v>427</v>
      </c>
    </row>
    <row r="187" spans="1:26" s="11" customFormat="1" ht="12" customHeight="1">
      <c r="A187" s="11" t="s">
        <v>302</v>
      </c>
      <c r="B187" s="583">
        <v>45761</v>
      </c>
      <c r="C187" s="18" t="s">
        <v>856</v>
      </c>
      <c r="D187" s="58" t="s">
        <v>15</v>
      </c>
      <c r="E187" s="7" t="s">
        <v>45</v>
      </c>
      <c r="F187" s="64">
        <v>45769</v>
      </c>
      <c r="G187" s="7" t="s">
        <v>848</v>
      </c>
      <c r="H187" s="222" t="s">
        <v>878</v>
      </c>
      <c r="I187" s="57"/>
      <c r="J187" s="57">
        <v>4545839471</v>
      </c>
      <c r="K187" s="173"/>
      <c r="L187" s="18"/>
      <c r="M187" s="7" t="s">
        <v>73</v>
      </c>
      <c r="N187" s="829"/>
      <c r="O187" s="16"/>
      <c r="P187" s="16"/>
      <c r="Q187" s="16"/>
      <c r="R187" s="16"/>
      <c r="S187" s="16" t="s">
        <v>15</v>
      </c>
      <c r="T187" s="16"/>
      <c r="U187" s="112">
        <v>1</v>
      </c>
      <c r="V187" t="s">
        <v>882</v>
      </c>
      <c r="W187" s="7" t="s">
        <v>881</v>
      </c>
      <c r="X187" s="7" t="s">
        <v>880</v>
      </c>
      <c r="Y187" s="16">
        <v>98</v>
      </c>
      <c r="Z187" s="6" t="s">
        <v>427</v>
      </c>
    </row>
    <row r="188" spans="1:26" s="11" customFormat="1" ht="12" customHeight="1">
      <c r="A188" s="11" t="s">
        <v>302</v>
      </c>
      <c r="B188" s="583">
        <v>45761</v>
      </c>
      <c r="C188" s="18" t="s">
        <v>857</v>
      </c>
      <c r="D188" s="58" t="s">
        <v>15</v>
      </c>
      <c r="E188" s="7" t="s">
        <v>45</v>
      </c>
      <c r="F188" s="64">
        <v>45769</v>
      </c>
      <c r="G188" s="7" t="s">
        <v>848</v>
      </c>
      <c r="H188" s="222" t="s">
        <v>878</v>
      </c>
      <c r="I188" s="57"/>
      <c r="J188" s="57">
        <v>4545839460</v>
      </c>
      <c r="K188" s="173"/>
      <c r="L188" s="18"/>
      <c r="M188" s="7" t="s">
        <v>73</v>
      </c>
      <c r="N188" s="829"/>
      <c r="O188" s="16" t="s">
        <v>875</v>
      </c>
      <c r="P188" s="16"/>
      <c r="Q188" s="16"/>
      <c r="R188" s="16"/>
      <c r="S188" s="16">
        <v>0.5</v>
      </c>
      <c r="T188" s="16"/>
      <c r="U188" s="112">
        <v>1</v>
      </c>
      <c r="V188" t="s">
        <v>883</v>
      </c>
      <c r="W188" s="7" t="s">
        <v>881</v>
      </c>
      <c r="X188" s="7" t="s">
        <v>884</v>
      </c>
      <c r="Y188" s="16">
        <v>96</v>
      </c>
      <c r="Z188" s="6" t="s">
        <v>427</v>
      </c>
    </row>
    <row r="189" spans="1:26" s="306" customFormat="1" ht="28.5" customHeight="1">
      <c r="A189" s="804" t="s">
        <v>865</v>
      </c>
      <c r="B189" s="805">
        <v>45762</v>
      </c>
      <c r="C189" s="806" t="s">
        <v>866</v>
      </c>
      <c r="D189" s="134" t="s">
        <v>15</v>
      </c>
      <c r="E189" s="807" t="s">
        <v>923</v>
      </c>
      <c r="F189" s="805">
        <v>45796</v>
      </c>
      <c r="G189" s="807" t="s">
        <v>583</v>
      </c>
      <c r="H189" s="808" t="s">
        <v>877</v>
      </c>
      <c r="I189" s="134"/>
      <c r="J189" s="134"/>
      <c r="K189" s="809"/>
      <c r="L189" s="810" t="s">
        <v>867</v>
      </c>
      <c r="M189" s="807" t="s">
        <v>73</v>
      </c>
      <c r="N189" s="807"/>
      <c r="O189" s="807" t="s">
        <v>925</v>
      </c>
      <c r="P189" s="807"/>
      <c r="Q189" s="807"/>
      <c r="R189" s="807"/>
      <c r="S189" s="807">
        <v>0.5</v>
      </c>
      <c r="T189" s="807"/>
      <c r="U189" s="145">
        <v>0.5</v>
      </c>
      <c r="V189" s="134" t="s">
        <v>924</v>
      </c>
      <c r="W189" s="807"/>
      <c r="X189" s="807"/>
      <c r="Y189" s="807"/>
      <c r="Z189" s="312" t="s">
        <v>868</v>
      </c>
    </row>
    <row r="190" spans="1:26" s="130" customFormat="1" ht="24" customHeight="1">
      <c r="A190" s="139" t="s">
        <v>498</v>
      </c>
      <c r="B190" s="583">
        <v>45769</v>
      </c>
      <c r="C190" s="513" t="s">
        <v>1010</v>
      </c>
      <c r="D190" s="58" t="s">
        <v>909</v>
      </c>
      <c r="E190" s="16" t="s">
        <v>923</v>
      </c>
      <c r="F190" s="66" t="s">
        <v>1011</v>
      </c>
      <c r="G190" s="16" t="s">
        <v>583</v>
      </c>
      <c r="H190" s="141" t="s">
        <v>874</v>
      </c>
      <c r="I190" s="58"/>
      <c r="J190" s="57"/>
      <c r="K190" s="157"/>
      <c r="M190" s="58" t="s">
        <v>73</v>
      </c>
      <c r="N190" s="828"/>
      <c r="O190" s="165" t="s">
        <v>926</v>
      </c>
      <c r="P190" s="165"/>
      <c r="Q190" s="165"/>
      <c r="R190" s="58"/>
      <c r="S190" s="58">
        <v>0.5</v>
      </c>
      <c r="T190" s="58"/>
      <c r="U190" s="132">
        <v>0.5</v>
      </c>
      <c r="V190" s="133" t="s">
        <v>920</v>
      </c>
      <c r="W190" s="16" t="s">
        <v>921</v>
      </c>
      <c r="X190" s="58">
        <v>0.67</v>
      </c>
      <c r="Y190" s="58">
        <v>112</v>
      </c>
      <c r="Z190" s="679" t="s">
        <v>922</v>
      </c>
    </row>
    <row r="191" spans="1:26" s="11" customFormat="1" ht="41.4">
      <c r="A191" s="11" t="s">
        <v>443</v>
      </c>
      <c r="B191" s="583">
        <v>45769</v>
      </c>
      <c r="C191" s="18" t="s">
        <v>879</v>
      </c>
      <c r="D191" s="58" t="s">
        <v>15</v>
      </c>
      <c r="E191" s="16" t="s">
        <v>923</v>
      </c>
      <c r="F191" s="64">
        <v>45782</v>
      </c>
      <c r="G191" s="7" t="s">
        <v>848</v>
      </c>
      <c r="H191" s="140"/>
      <c r="I191" s="57"/>
      <c r="J191" s="57"/>
      <c r="K191" s="126"/>
      <c r="L191" s="149" t="s">
        <v>900</v>
      </c>
      <c r="M191" s="7" t="s">
        <v>73</v>
      </c>
      <c r="N191" s="829"/>
      <c r="O191" s="166" t="s">
        <v>901</v>
      </c>
      <c r="P191" s="166"/>
      <c r="Q191" s="166"/>
      <c r="R191" s="159"/>
      <c r="S191" s="16">
        <v>1</v>
      </c>
      <c r="T191" s="16"/>
      <c r="U191" s="129">
        <v>0.5</v>
      </c>
      <c r="V191" s="11" t="s">
        <v>899</v>
      </c>
      <c r="W191" s="7">
        <v>1</v>
      </c>
      <c r="X191" s="7">
        <v>14</v>
      </c>
      <c r="Y191" s="16">
        <v>92</v>
      </c>
      <c r="Z191" s="6" t="s">
        <v>279</v>
      </c>
    </row>
    <row r="192" spans="1:26" s="11" customFormat="1" ht="12" customHeight="1">
      <c r="A192" s="19" t="s">
        <v>842</v>
      </c>
      <c r="B192" s="88">
        <v>45771</v>
      </c>
      <c r="C192" s="20" t="s">
        <v>886</v>
      </c>
      <c r="D192" s="96" t="s">
        <v>142</v>
      </c>
      <c r="E192" s="34" t="s">
        <v>45</v>
      </c>
      <c r="F192" s="79">
        <v>45771</v>
      </c>
      <c r="G192" s="34" t="s">
        <v>848</v>
      </c>
      <c r="H192" s="143" t="s">
        <v>888</v>
      </c>
      <c r="I192" s="111">
        <v>4544574201</v>
      </c>
      <c r="J192" s="111">
        <v>4545678279</v>
      </c>
      <c r="K192" s="137"/>
      <c r="L192" s="19" t="s">
        <v>980</v>
      </c>
      <c r="M192" s="34" t="s">
        <v>73</v>
      </c>
      <c r="N192" s="22" t="s">
        <v>15</v>
      </c>
      <c r="O192" s="22" t="s">
        <v>15</v>
      </c>
      <c r="P192" s="22"/>
      <c r="Q192" s="22"/>
      <c r="R192" s="22"/>
      <c r="S192" s="22" t="s">
        <v>15</v>
      </c>
      <c r="T192" s="22"/>
      <c r="U192" s="22" t="s">
        <v>887</v>
      </c>
      <c r="V192" s="19"/>
      <c r="W192" s="34">
        <v>5</v>
      </c>
      <c r="X192" s="34">
        <v>13.65</v>
      </c>
      <c r="Y192" s="22">
        <v>147</v>
      </c>
      <c r="Z192" s="10" t="s">
        <v>852</v>
      </c>
    </row>
    <row r="193" spans="1:26" s="11" customFormat="1" ht="12" customHeight="1">
      <c r="A193" s="11" t="s">
        <v>302</v>
      </c>
      <c r="B193" s="583">
        <v>45775</v>
      </c>
      <c r="C193" s="18" t="s">
        <v>889</v>
      </c>
      <c r="D193" s="58" t="s">
        <v>15</v>
      </c>
      <c r="E193" s="7" t="s">
        <v>45</v>
      </c>
      <c r="F193" s="64">
        <v>45805</v>
      </c>
      <c r="G193" s="7" t="s">
        <v>848</v>
      </c>
      <c r="H193" s="144" t="s">
        <v>892</v>
      </c>
      <c r="I193" s="57"/>
      <c r="J193" s="57">
        <v>4546072642</v>
      </c>
      <c r="K193" s="126">
        <v>4549634160</v>
      </c>
      <c r="L193" s="148" t="s">
        <v>952</v>
      </c>
      <c r="M193" s="7" t="s">
        <v>73</v>
      </c>
      <c r="N193" s="829"/>
      <c r="O193" s="16" t="s">
        <v>914</v>
      </c>
      <c r="P193" s="16"/>
      <c r="Q193" s="16"/>
      <c r="R193" s="16"/>
      <c r="S193" s="16">
        <v>0.5</v>
      </c>
      <c r="T193" s="16"/>
      <c r="U193" s="16"/>
      <c r="V193" s="18" t="s">
        <v>951</v>
      </c>
      <c r="W193" s="7">
        <v>3</v>
      </c>
      <c r="X193" s="7" t="s">
        <v>953</v>
      </c>
      <c r="Y193" s="16">
        <v>106</v>
      </c>
      <c r="Z193" s="6" t="s">
        <v>427</v>
      </c>
    </row>
    <row r="194" spans="1:26" s="11" customFormat="1" ht="12" customHeight="1">
      <c r="A194" s="11" t="s">
        <v>890</v>
      </c>
      <c r="B194" s="583">
        <v>45775</v>
      </c>
      <c r="C194" s="18" t="s">
        <v>891</v>
      </c>
      <c r="D194" s="58" t="s">
        <v>15</v>
      </c>
      <c r="E194" s="7" t="s">
        <v>671</v>
      </c>
      <c r="F194" s="7" t="s">
        <v>671</v>
      </c>
      <c r="G194" s="7" t="s">
        <v>583</v>
      </c>
      <c r="H194" s="140"/>
      <c r="I194" s="57"/>
      <c r="J194" s="57"/>
      <c r="K194" s="126"/>
      <c r="L194" s="18"/>
      <c r="M194" s="7" t="s">
        <v>73</v>
      </c>
      <c r="N194" s="829"/>
      <c r="O194" s="16" t="s">
        <v>915</v>
      </c>
      <c r="P194" s="16"/>
      <c r="Q194" s="16"/>
      <c r="R194" s="16"/>
      <c r="S194" s="16">
        <v>0.5</v>
      </c>
      <c r="T194" s="16"/>
      <c r="U194" s="16" t="s">
        <v>15</v>
      </c>
      <c r="W194" s="7"/>
      <c r="X194" s="7"/>
      <c r="Y194" s="16"/>
      <c r="Z194" s="6" t="s">
        <v>893</v>
      </c>
    </row>
    <row r="195" spans="1:26" s="11" customFormat="1" ht="12" customHeight="1">
      <c r="A195" s="11" t="s">
        <v>894</v>
      </c>
      <c r="B195" s="583">
        <v>45776</v>
      </c>
      <c r="C195" s="18" t="s">
        <v>895</v>
      </c>
      <c r="D195" s="58" t="s">
        <v>15</v>
      </c>
      <c r="E195" s="7" t="s">
        <v>45</v>
      </c>
      <c r="F195" s="64">
        <v>45783</v>
      </c>
      <c r="G195" s="7" t="s">
        <v>848</v>
      </c>
      <c r="H195" s="140"/>
      <c r="I195" s="57"/>
      <c r="J195" s="57"/>
      <c r="K195" s="126"/>
      <c r="L195" s="149" t="s">
        <v>902</v>
      </c>
      <c r="M195" s="7" t="s">
        <v>73</v>
      </c>
      <c r="N195" s="829"/>
      <c r="O195" s="16"/>
      <c r="P195" s="16"/>
      <c r="Q195" s="16"/>
      <c r="R195" s="16"/>
      <c r="S195" s="16" t="s">
        <v>15</v>
      </c>
      <c r="T195" s="16"/>
      <c r="U195" s="16"/>
      <c r="V195" s="11" t="s">
        <v>897</v>
      </c>
      <c r="W195" s="7">
        <v>14</v>
      </c>
      <c r="X195" s="7">
        <v>4.7</v>
      </c>
      <c r="Y195" s="16">
        <v>144</v>
      </c>
      <c r="Z195" s="6" t="s">
        <v>903</v>
      </c>
    </row>
    <row r="196" spans="1:26" s="11" customFormat="1" ht="12" customHeight="1">
      <c r="A196" s="11" t="s">
        <v>898</v>
      </c>
      <c r="B196" s="583">
        <v>45779</v>
      </c>
      <c r="C196" s="18" t="s">
        <v>730</v>
      </c>
      <c r="D196" s="58" t="s">
        <v>909</v>
      </c>
      <c r="E196" s="7" t="s">
        <v>949</v>
      </c>
      <c r="F196" s="64" t="s">
        <v>949</v>
      </c>
      <c r="G196" s="7" t="s">
        <v>583</v>
      </c>
      <c r="H196" s="126" t="s">
        <v>948</v>
      </c>
      <c r="I196" s="57"/>
      <c r="J196" s="57"/>
      <c r="K196" s="126"/>
      <c r="L196" s="18" t="s">
        <v>981</v>
      </c>
      <c r="M196" s="7" t="s">
        <v>73</v>
      </c>
      <c r="N196" s="829"/>
      <c r="O196" s="7"/>
      <c r="P196" s="7"/>
      <c r="Q196" s="7"/>
      <c r="R196" s="16"/>
      <c r="S196" s="16" t="s">
        <v>15</v>
      </c>
      <c r="T196" s="16"/>
      <c r="U196" s="16" t="s">
        <v>15</v>
      </c>
      <c r="V196" s="18" t="s">
        <v>907</v>
      </c>
      <c r="W196" s="7"/>
      <c r="X196" s="7"/>
      <c r="Y196" s="16"/>
      <c r="Z196" s="6" t="s">
        <v>945</v>
      </c>
    </row>
    <row r="197" spans="1:26" s="11" customFormat="1" ht="12" customHeight="1">
      <c r="A197" s="19" t="s">
        <v>164</v>
      </c>
      <c r="B197" s="88">
        <v>45786</v>
      </c>
      <c r="C197" s="20" t="s">
        <v>904</v>
      </c>
      <c r="D197" s="96" t="s">
        <v>15</v>
      </c>
      <c r="E197" s="34" t="s">
        <v>671</v>
      </c>
      <c r="F197" s="79">
        <v>45786</v>
      </c>
      <c r="G197" s="34" t="s">
        <v>671</v>
      </c>
      <c r="H197" s="142" t="s">
        <v>906</v>
      </c>
      <c r="I197" s="111"/>
      <c r="J197" s="111"/>
      <c r="K197" s="137"/>
      <c r="L197" s="150" t="s">
        <v>905</v>
      </c>
      <c r="M197" s="34" t="s">
        <v>73</v>
      </c>
      <c r="N197" s="22"/>
      <c r="O197" s="22"/>
      <c r="P197" s="22"/>
      <c r="Q197" s="22"/>
      <c r="R197" s="22"/>
      <c r="S197" s="22" t="s">
        <v>15</v>
      </c>
      <c r="T197" s="22"/>
      <c r="U197" s="22" t="s">
        <v>15</v>
      </c>
      <c r="V197" s="19"/>
      <c r="W197" s="34"/>
      <c r="X197" s="34"/>
      <c r="Y197" s="22"/>
      <c r="Z197" s="10" t="s">
        <v>54</v>
      </c>
    </row>
    <row r="198" spans="1:26" s="175" customFormat="1" ht="24" customHeight="1">
      <c r="A198" s="18" t="s">
        <v>443</v>
      </c>
      <c r="B198" s="583">
        <v>45790</v>
      </c>
      <c r="C198" s="18" t="s">
        <v>908</v>
      </c>
      <c r="D198" s="58" t="s">
        <v>15</v>
      </c>
      <c r="E198" s="16" t="s">
        <v>45</v>
      </c>
      <c r="F198" s="66" t="s">
        <v>1032</v>
      </c>
      <c r="G198" s="16" t="s">
        <v>919</v>
      </c>
      <c r="H198" s="180" t="s">
        <v>1029</v>
      </c>
      <c r="I198" s="58"/>
      <c r="J198" s="57">
        <v>4546332070</v>
      </c>
      <c r="K198" s="126"/>
      <c r="L198" s="148" t="s">
        <v>946</v>
      </c>
      <c r="M198" s="16" t="s">
        <v>73</v>
      </c>
      <c r="N198" s="829" t="s">
        <v>15</v>
      </c>
      <c r="O198" s="16" t="s">
        <v>1061</v>
      </c>
      <c r="P198" s="16"/>
      <c r="Q198" s="16"/>
      <c r="R198" s="16" t="s">
        <v>15</v>
      </c>
      <c r="S198" s="16">
        <v>0.5</v>
      </c>
      <c r="T198" s="16" t="s">
        <v>1031</v>
      </c>
      <c r="U198" s="16">
        <v>1</v>
      </c>
      <c r="V198" s="18" t="s">
        <v>918</v>
      </c>
      <c r="W198" s="16">
        <v>1</v>
      </c>
      <c r="X198" s="58" t="s">
        <v>1060</v>
      </c>
      <c r="Y198" s="16" t="s">
        <v>1030</v>
      </c>
      <c r="Z198" s="679" t="s">
        <v>279</v>
      </c>
    </row>
    <row r="199" spans="1:26" s="11" customFormat="1" ht="12" customHeight="1">
      <c r="A199" s="11" t="s">
        <v>910</v>
      </c>
      <c r="B199" s="583">
        <v>45792</v>
      </c>
      <c r="C199" s="18" t="s">
        <v>911</v>
      </c>
      <c r="D199" s="58" t="s">
        <v>15</v>
      </c>
      <c r="E199" s="7" t="s">
        <v>671</v>
      </c>
      <c r="F199" s="64">
        <v>45803</v>
      </c>
      <c r="G199" s="7" t="s">
        <v>671</v>
      </c>
      <c r="H199" s="140" t="s">
        <v>912</v>
      </c>
      <c r="I199" s="57"/>
      <c r="J199" s="57"/>
      <c r="K199" s="126"/>
      <c r="L199" s="148" t="s">
        <v>913</v>
      </c>
      <c r="M199" s="7" t="s">
        <v>73</v>
      </c>
      <c r="N199" s="829" t="s">
        <v>15</v>
      </c>
      <c r="O199" s="16" t="s">
        <v>916</v>
      </c>
      <c r="P199" s="16"/>
      <c r="Q199" s="16"/>
      <c r="R199" s="16" t="s">
        <v>15</v>
      </c>
      <c r="S199" s="16">
        <v>0.5</v>
      </c>
      <c r="T199" s="16"/>
      <c r="U199" s="112">
        <v>1</v>
      </c>
      <c r="W199" s="7"/>
      <c r="X199" s="7"/>
      <c r="Y199" s="16"/>
      <c r="Z199" s="6" t="s">
        <v>944</v>
      </c>
    </row>
    <row r="200" spans="1:26" s="11" customFormat="1" ht="15.75" customHeight="1">
      <c r="A200" s="19" t="s">
        <v>302</v>
      </c>
      <c r="B200" s="88">
        <v>45792</v>
      </c>
      <c r="C200" s="20" t="s">
        <v>917</v>
      </c>
      <c r="D200" s="96" t="s">
        <v>15</v>
      </c>
      <c r="E200" s="34" t="s">
        <v>671</v>
      </c>
      <c r="F200" s="79">
        <v>45807</v>
      </c>
      <c r="G200" s="22" t="s">
        <v>15</v>
      </c>
      <c r="H200" s="142" t="s">
        <v>957</v>
      </c>
      <c r="I200" s="111"/>
      <c r="J200" s="111"/>
      <c r="K200" s="137"/>
      <c r="L200" s="20"/>
      <c r="M200" s="34" t="s">
        <v>73</v>
      </c>
      <c r="N200" s="22" t="s">
        <v>15</v>
      </c>
      <c r="O200" s="167" t="s">
        <v>958</v>
      </c>
      <c r="P200" s="167"/>
      <c r="Q200" s="167"/>
      <c r="R200" s="22" t="s">
        <v>15</v>
      </c>
      <c r="S200" s="22" t="s">
        <v>15</v>
      </c>
      <c r="T200" s="22" t="s">
        <v>15</v>
      </c>
      <c r="U200" s="121">
        <v>1</v>
      </c>
      <c r="V200" s="19"/>
      <c r="W200" s="34"/>
      <c r="X200" s="34"/>
      <c r="Y200" s="22"/>
      <c r="Z200" s="10" t="s">
        <v>427</v>
      </c>
    </row>
    <row r="201" spans="1:26" s="11" customFormat="1" ht="12" customHeight="1">
      <c r="A201" s="11" t="s">
        <v>443</v>
      </c>
      <c r="B201" s="583">
        <v>45797</v>
      </c>
      <c r="C201" s="18" t="s">
        <v>931</v>
      </c>
      <c r="D201" s="58" t="s">
        <v>15</v>
      </c>
      <c r="E201" s="7" t="s">
        <v>671</v>
      </c>
      <c r="F201" s="64">
        <v>45800</v>
      </c>
      <c r="G201" s="7" t="s">
        <v>671</v>
      </c>
      <c r="H201" s="140"/>
      <c r="I201" s="57"/>
      <c r="J201" s="57"/>
      <c r="K201" s="126"/>
      <c r="L201" s="18"/>
      <c r="M201" s="7" t="s">
        <v>73</v>
      </c>
      <c r="N201" s="829" t="s">
        <v>15</v>
      </c>
      <c r="O201" s="16" t="s">
        <v>15</v>
      </c>
      <c r="P201" s="16"/>
      <c r="Q201" s="16"/>
      <c r="R201" s="16" t="s">
        <v>15</v>
      </c>
      <c r="S201" s="16" t="s">
        <v>15</v>
      </c>
      <c r="T201" s="16" t="s">
        <v>15</v>
      </c>
      <c r="U201" s="112">
        <v>1</v>
      </c>
      <c r="V201" s="18" t="s">
        <v>941</v>
      </c>
      <c r="W201" s="7">
        <v>2</v>
      </c>
      <c r="X201" s="7"/>
      <c r="Y201" s="16"/>
      <c r="Z201" s="6" t="s">
        <v>279</v>
      </c>
    </row>
    <row r="202" spans="1:26" s="11" customFormat="1" ht="12" customHeight="1">
      <c r="A202" s="11" t="s">
        <v>933</v>
      </c>
      <c r="B202" s="583">
        <v>45798</v>
      </c>
      <c r="C202" s="18" t="s">
        <v>932</v>
      </c>
      <c r="D202" s="58" t="s">
        <v>15</v>
      </c>
      <c r="E202" s="7" t="s">
        <v>45</v>
      </c>
      <c r="F202" s="64">
        <v>45819</v>
      </c>
      <c r="G202" s="7" t="s">
        <v>848</v>
      </c>
      <c r="H202" s="126" t="s">
        <v>950</v>
      </c>
      <c r="I202" s="57"/>
      <c r="J202" s="57"/>
      <c r="K202" s="126"/>
      <c r="L202" s="148" t="s">
        <v>950</v>
      </c>
      <c r="M202" s="7" t="s">
        <v>73</v>
      </c>
      <c r="N202" s="829" t="s">
        <v>1022</v>
      </c>
      <c r="O202" s="16" t="s">
        <v>1004</v>
      </c>
      <c r="P202" s="16"/>
      <c r="Q202" s="16"/>
      <c r="R202" s="16" t="s">
        <v>15</v>
      </c>
      <c r="S202" s="16">
        <v>0.5</v>
      </c>
      <c r="T202" s="16"/>
      <c r="U202" s="112">
        <v>1</v>
      </c>
      <c r="V202" s="18" t="s">
        <v>934</v>
      </c>
      <c r="W202" s="7">
        <v>2</v>
      </c>
      <c r="X202" s="7" t="s">
        <v>1018</v>
      </c>
      <c r="Y202" s="16">
        <v>95</v>
      </c>
      <c r="Z202" s="6" t="s">
        <v>427</v>
      </c>
    </row>
    <row r="203" spans="1:26" s="11" customFormat="1" ht="28.5" customHeight="1">
      <c r="A203" s="19" t="s">
        <v>935</v>
      </c>
      <c r="B203" s="88" t="s">
        <v>940</v>
      </c>
      <c r="C203" s="20" t="s">
        <v>936</v>
      </c>
      <c r="D203" s="96" t="s">
        <v>15</v>
      </c>
      <c r="E203" s="34" t="s">
        <v>45</v>
      </c>
      <c r="F203" s="79">
        <v>45800</v>
      </c>
      <c r="G203" s="34" t="s">
        <v>848</v>
      </c>
      <c r="H203" s="142"/>
      <c r="I203" s="111"/>
      <c r="J203" s="111"/>
      <c r="K203" s="146">
        <v>11790303</v>
      </c>
      <c r="L203" s="20" t="s">
        <v>937</v>
      </c>
      <c r="M203" s="34" t="s">
        <v>73</v>
      </c>
      <c r="N203" s="22" t="s">
        <v>15</v>
      </c>
      <c r="O203" s="22" t="s">
        <v>15</v>
      </c>
      <c r="P203" s="22"/>
      <c r="Q203" s="22"/>
      <c r="R203" s="22" t="s">
        <v>15</v>
      </c>
      <c r="S203" s="22" t="s">
        <v>15</v>
      </c>
      <c r="T203" s="22" t="s">
        <v>15</v>
      </c>
      <c r="U203" s="121">
        <v>1</v>
      </c>
      <c r="V203" s="20" t="s">
        <v>938</v>
      </c>
      <c r="W203" s="34">
        <v>2</v>
      </c>
      <c r="X203" s="34">
        <v>38.909999999999997</v>
      </c>
      <c r="Y203" s="22">
        <v>156</v>
      </c>
      <c r="Z203" s="10" t="s">
        <v>939</v>
      </c>
    </row>
    <row r="204" spans="1:26" s="11" customFormat="1" ht="12.75" customHeight="1">
      <c r="A204" s="11" t="s">
        <v>933</v>
      </c>
      <c r="B204" s="583">
        <v>45804</v>
      </c>
      <c r="C204" s="130" t="s">
        <v>942</v>
      </c>
      <c r="D204" s="58"/>
      <c r="E204" s="7" t="s">
        <v>45</v>
      </c>
      <c r="F204" s="237">
        <v>45847</v>
      </c>
      <c r="G204" s="7" t="s">
        <v>848</v>
      </c>
      <c r="H204" s="126" t="s">
        <v>943</v>
      </c>
      <c r="I204" s="57"/>
      <c r="J204" s="57">
        <v>4546581755</v>
      </c>
      <c r="K204" s="126"/>
      <c r="L204" s="148" t="s">
        <v>943</v>
      </c>
      <c r="M204" s="7" t="s">
        <v>73</v>
      </c>
      <c r="N204" s="828">
        <v>26305</v>
      </c>
      <c r="O204" s="16" t="s">
        <v>1020</v>
      </c>
      <c r="P204" s="16"/>
      <c r="Q204" s="58" t="s">
        <v>1021</v>
      </c>
      <c r="R204" s="16" t="s">
        <v>15</v>
      </c>
      <c r="S204" s="16">
        <v>1</v>
      </c>
      <c r="T204" s="16"/>
      <c r="U204" s="112">
        <v>0.5</v>
      </c>
      <c r="V204" s="56" t="s">
        <v>1020</v>
      </c>
      <c r="W204" s="236" t="s">
        <v>881</v>
      </c>
      <c r="X204" s="7" t="s">
        <v>1146</v>
      </c>
      <c r="Y204" s="58">
        <v>98</v>
      </c>
      <c r="Z204" s="6" t="s">
        <v>427</v>
      </c>
    </row>
    <row r="205" spans="1:26" s="11" customFormat="1" ht="12.75" customHeight="1">
      <c r="A205" s="11" t="s">
        <v>443</v>
      </c>
      <c r="B205" s="583">
        <v>45806</v>
      </c>
      <c r="C205" s="18" t="s">
        <v>954</v>
      </c>
      <c r="D205" s="58" t="s">
        <v>15</v>
      </c>
      <c r="E205" s="7" t="s">
        <v>671</v>
      </c>
      <c r="F205" s="64">
        <v>45807</v>
      </c>
      <c r="G205" s="57" t="s">
        <v>583</v>
      </c>
      <c r="H205" s="102" t="s">
        <v>955</v>
      </c>
      <c r="I205" s="57"/>
      <c r="J205" s="57"/>
      <c r="K205" s="168"/>
      <c r="L205" s="56" t="s">
        <v>982</v>
      </c>
      <c r="M205" s="7" t="s">
        <v>73</v>
      </c>
      <c r="N205" s="829" t="s">
        <v>15</v>
      </c>
      <c r="O205" s="16" t="s">
        <v>959</v>
      </c>
      <c r="P205" s="16"/>
      <c r="Q205" s="16"/>
      <c r="R205" s="16" t="s">
        <v>15</v>
      </c>
      <c r="S205" s="16" t="s">
        <v>15</v>
      </c>
      <c r="T205" s="16" t="s">
        <v>15</v>
      </c>
      <c r="U205" s="112">
        <v>1</v>
      </c>
      <c r="V205" s="93"/>
      <c r="W205" s="7"/>
      <c r="X205" s="7"/>
      <c r="Y205" s="16"/>
      <c r="Z205" s="6" t="s">
        <v>279</v>
      </c>
    </row>
    <row r="206" spans="1:26" s="181" customFormat="1" ht="29.25" customHeight="1">
      <c r="A206" s="20" t="s">
        <v>522</v>
      </c>
      <c r="B206" s="88">
        <v>45807</v>
      </c>
      <c r="C206" s="20" t="s">
        <v>960</v>
      </c>
      <c r="D206" s="96" t="s">
        <v>480</v>
      </c>
      <c r="E206" s="22" t="s">
        <v>45</v>
      </c>
      <c r="F206" s="88">
        <v>45832</v>
      </c>
      <c r="G206" s="22" t="s">
        <v>583</v>
      </c>
      <c r="H206" s="182" t="s">
        <v>961</v>
      </c>
      <c r="I206" s="96">
        <v>4542127846</v>
      </c>
      <c r="J206" s="111"/>
      <c r="K206" s="183"/>
      <c r="L206" s="184" t="s">
        <v>962</v>
      </c>
      <c r="M206" s="22" t="s">
        <v>73</v>
      </c>
      <c r="N206" s="196"/>
      <c r="O206" s="22" t="s">
        <v>15</v>
      </c>
      <c r="P206" s="22"/>
      <c r="Q206" s="22" t="s">
        <v>15</v>
      </c>
      <c r="R206" s="22" t="s">
        <v>15</v>
      </c>
      <c r="S206" s="22" t="s">
        <v>15</v>
      </c>
      <c r="T206" s="22" t="s">
        <v>15</v>
      </c>
      <c r="U206" s="22" t="s">
        <v>15</v>
      </c>
      <c r="V206" s="185" t="s">
        <v>1062</v>
      </c>
      <c r="W206" s="22" t="s">
        <v>881</v>
      </c>
      <c r="X206" s="22" t="s">
        <v>1063</v>
      </c>
      <c r="Y206" s="22" t="s">
        <v>1064</v>
      </c>
      <c r="Z206" s="62" t="s">
        <v>122</v>
      </c>
    </row>
    <row r="207" spans="1:26" s="11" customFormat="1" ht="12.75" customHeight="1">
      <c r="A207" s="11" t="s">
        <v>963</v>
      </c>
      <c r="B207" s="583">
        <v>45810</v>
      </c>
      <c r="C207" s="18" t="s">
        <v>964</v>
      </c>
      <c r="D207" s="58" t="s">
        <v>15</v>
      </c>
      <c r="E207" s="7" t="s">
        <v>45</v>
      </c>
      <c r="F207" s="64">
        <v>45813</v>
      </c>
      <c r="G207" s="57" t="s">
        <v>583</v>
      </c>
      <c r="H207" s="126" t="s">
        <v>965</v>
      </c>
      <c r="I207" s="57"/>
      <c r="J207" s="57"/>
      <c r="K207" s="18"/>
      <c r="L207" s="18" t="s">
        <v>988</v>
      </c>
      <c r="M207" s="7" t="s">
        <v>73</v>
      </c>
      <c r="N207" s="829"/>
      <c r="O207" s="16"/>
      <c r="P207" s="16"/>
      <c r="Q207" s="16"/>
      <c r="R207" s="16"/>
      <c r="S207" s="16"/>
      <c r="T207" s="16"/>
      <c r="U207" s="16" t="s">
        <v>15</v>
      </c>
      <c r="V207" s="18" t="s">
        <v>976</v>
      </c>
      <c r="W207" s="16" t="s">
        <v>977</v>
      </c>
      <c r="X207" s="18" t="s">
        <v>978</v>
      </c>
      <c r="Y207" s="16">
        <v>329</v>
      </c>
      <c r="Z207" s="6" t="s">
        <v>975</v>
      </c>
    </row>
    <row r="208" spans="1:26" s="18" customFormat="1" ht="12" customHeight="1">
      <c r="A208" s="18" t="s">
        <v>967</v>
      </c>
      <c r="B208" s="583">
        <v>45810</v>
      </c>
      <c r="C208" s="18" t="s">
        <v>1000</v>
      </c>
      <c r="D208" s="16" t="s">
        <v>966</v>
      </c>
      <c r="E208" s="16" t="s">
        <v>45</v>
      </c>
      <c r="F208" s="66">
        <v>45811</v>
      </c>
      <c r="G208" s="16" t="s">
        <v>583</v>
      </c>
      <c r="H208" s="13"/>
      <c r="I208" s="58"/>
      <c r="J208" s="57">
        <v>4546169279</v>
      </c>
      <c r="K208" s="173"/>
      <c r="M208" s="16" t="s">
        <v>73</v>
      </c>
      <c r="N208" s="829">
        <v>26593</v>
      </c>
      <c r="O208" s="16" t="s">
        <v>1049</v>
      </c>
      <c r="P208" s="16"/>
      <c r="Q208" s="16"/>
      <c r="R208" s="16" t="s">
        <v>15</v>
      </c>
      <c r="S208" s="16">
        <v>2.5</v>
      </c>
      <c r="T208" s="16"/>
      <c r="U208" s="112">
        <v>1</v>
      </c>
      <c r="V208" s="93"/>
      <c r="W208" s="16"/>
      <c r="X208" s="16"/>
      <c r="Y208" s="16" t="s">
        <v>968</v>
      </c>
      <c r="Z208" s="679" t="s">
        <v>822</v>
      </c>
    </row>
    <row r="209" spans="1:56" s="11" customFormat="1" ht="16.5" customHeight="1">
      <c r="A209" s="11" t="s">
        <v>898</v>
      </c>
      <c r="B209" s="583">
        <v>45811</v>
      </c>
      <c r="C209" s="18" t="s">
        <v>971</v>
      </c>
      <c r="D209" s="58" t="s">
        <v>909</v>
      </c>
      <c r="E209" s="7" t="s">
        <v>45</v>
      </c>
      <c r="F209" s="64">
        <v>45819</v>
      </c>
      <c r="G209" s="57" t="s">
        <v>583</v>
      </c>
      <c r="H209" s="194" t="s">
        <v>1006</v>
      </c>
      <c r="I209" s="57"/>
      <c r="J209" s="57"/>
      <c r="K209" s="173"/>
      <c r="L209" s="90" t="s">
        <v>1007</v>
      </c>
      <c r="M209" s="7" t="s">
        <v>73</v>
      </c>
      <c r="N209" s="829"/>
      <c r="O209" s="16" t="s">
        <v>1005</v>
      </c>
      <c r="P209" s="16"/>
      <c r="Q209" s="16"/>
      <c r="R209" s="16" t="s">
        <v>15</v>
      </c>
      <c r="S209" s="16">
        <v>0.5</v>
      </c>
      <c r="T209" s="16"/>
      <c r="U209" s="112">
        <v>0.5</v>
      </c>
      <c r="W209" s="7" t="s">
        <v>1009</v>
      </c>
      <c r="X209" s="7"/>
      <c r="Y209" s="16" t="s">
        <v>1008</v>
      </c>
      <c r="Z209" s="686" t="s">
        <v>945</v>
      </c>
    </row>
    <row r="210" spans="1:56" s="11" customFormat="1" ht="12" customHeight="1">
      <c r="A210" s="11" t="s">
        <v>898</v>
      </c>
      <c r="B210" s="583">
        <v>45811</v>
      </c>
      <c r="C210" s="18" t="s">
        <v>969</v>
      </c>
      <c r="D210" s="58" t="s">
        <v>909</v>
      </c>
      <c r="E210" s="7" t="s">
        <v>45</v>
      </c>
      <c r="F210" s="64">
        <v>45819</v>
      </c>
      <c r="G210" s="57" t="s">
        <v>583</v>
      </c>
      <c r="H210" s="194" t="s">
        <v>974</v>
      </c>
      <c r="I210" s="57"/>
      <c r="J210" s="57"/>
      <c r="K210" s="173"/>
      <c r="L210" s="90" t="s">
        <v>1007</v>
      </c>
      <c r="M210" s="7" t="s">
        <v>73</v>
      </c>
      <c r="N210" s="829"/>
      <c r="O210" s="16" t="s">
        <v>1005</v>
      </c>
      <c r="P210" s="16"/>
      <c r="Q210" s="16"/>
      <c r="R210" s="16" t="s">
        <v>15</v>
      </c>
      <c r="S210" s="16">
        <v>0.5</v>
      </c>
      <c r="T210" s="16"/>
      <c r="U210" s="112">
        <v>0.5</v>
      </c>
      <c r="W210" s="7" t="s">
        <v>1009</v>
      </c>
      <c r="X210" s="7"/>
      <c r="Y210" s="16" t="s">
        <v>1008</v>
      </c>
      <c r="Z210" s="686" t="s">
        <v>945</v>
      </c>
    </row>
    <row r="211" spans="1:56" s="11" customFormat="1" ht="12" customHeight="1">
      <c r="A211" s="19" t="s">
        <v>898</v>
      </c>
      <c r="B211" s="88">
        <v>45811</v>
      </c>
      <c r="C211" s="20" t="s">
        <v>970</v>
      </c>
      <c r="D211" s="96" t="s">
        <v>909</v>
      </c>
      <c r="E211" s="34" t="s">
        <v>45</v>
      </c>
      <c r="F211" s="79">
        <v>45819</v>
      </c>
      <c r="G211" s="111" t="s">
        <v>583</v>
      </c>
      <c r="H211" s="170" t="s">
        <v>974</v>
      </c>
      <c r="I211" s="111"/>
      <c r="J211" s="111"/>
      <c r="K211" s="198"/>
      <c r="L211" s="91" t="s">
        <v>1007</v>
      </c>
      <c r="M211" s="34" t="s">
        <v>73</v>
      </c>
      <c r="N211" s="22"/>
      <c r="O211" s="22" t="s">
        <v>1005</v>
      </c>
      <c r="P211" s="22"/>
      <c r="Q211" s="22"/>
      <c r="R211" s="22" t="s">
        <v>15</v>
      </c>
      <c r="S211" s="22">
        <v>0.5</v>
      </c>
      <c r="T211" s="22"/>
      <c r="U211" s="121">
        <v>0.5</v>
      </c>
      <c r="V211" s="19"/>
      <c r="W211" s="34" t="s">
        <v>1009</v>
      </c>
      <c r="X211" s="34"/>
      <c r="Y211" s="22" t="s">
        <v>1008</v>
      </c>
      <c r="Z211" s="687" t="s">
        <v>945</v>
      </c>
    </row>
    <row r="212" spans="1:56" s="18" customFormat="1" ht="10.199999999999999" customHeight="1">
      <c r="A212" s="164" t="s">
        <v>443</v>
      </c>
      <c r="B212" s="176">
        <v>45817</v>
      </c>
      <c r="C212" s="228" t="s">
        <v>989</v>
      </c>
      <c r="D212" s="231" t="s">
        <v>15</v>
      </c>
      <c r="E212" s="229" t="s">
        <v>1012</v>
      </c>
      <c r="F212" s="230"/>
      <c r="G212" s="231" t="s">
        <v>583</v>
      </c>
      <c r="H212" s="233" t="s">
        <v>1143</v>
      </c>
      <c r="I212" s="694">
        <v>4544105929</v>
      </c>
      <c r="J212" s="843"/>
      <c r="K212" s="177"/>
      <c r="L212" s="162" t="s">
        <v>990</v>
      </c>
      <c r="M212" s="163" t="s">
        <v>73</v>
      </c>
      <c r="N212" s="166"/>
      <c r="O212" s="163"/>
      <c r="P212" s="163"/>
      <c r="Q212" s="163"/>
      <c r="R212" s="163"/>
      <c r="S212" s="163"/>
      <c r="T212" s="163"/>
      <c r="U212" s="163"/>
      <c r="V212" s="164"/>
      <c r="W212" s="163"/>
      <c r="X212" s="163"/>
      <c r="Y212" s="163"/>
      <c r="Z212" s="688" t="s">
        <v>279</v>
      </c>
    </row>
    <row r="213" spans="1:56" s="175" customFormat="1" ht="12" customHeight="1">
      <c r="A213" s="18" t="s">
        <v>443</v>
      </c>
      <c r="B213" s="583">
        <v>45817</v>
      </c>
      <c r="C213" s="18" t="s">
        <v>991</v>
      </c>
      <c r="D213" s="58" t="s">
        <v>15</v>
      </c>
      <c r="E213" s="16" t="s">
        <v>45</v>
      </c>
      <c r="F213" s="66">
        <v>45820</v>
      </c>
      <c r="G213" s="58" t="s">
        <v>848</v>
      </c>
      <c r="H213" s="194" t="s">
        <v>992</v>
      </c>
      <c r="I213" s="58">
        <v>4539628980</v>
      </c>
      <c r="J213" s="57"/>
      <c r="K213" s="174"/>
      <c r="L213" s="18"/>
      <c r="M213" s="16" t="s">
        <v>73</v>
      </c>
      <c r="N213" s="829">
        <v>7893</v>
      </c>
      <c r="O213" s="16" t="s">
        <v>1025</v>
      </c>
      <c r="P213" s="16"/>
      <c r="Q213" s="16"/>
      <c r="R213" s="16" t="s">
        <v>15</v>
      </c>
      <c r="S213" s="16">
        <v>0.5</v>
      </c>
      <c r="T213" s="16"/>
      <c r="U213" s="112">
        <v>1</v>
      </c>
      <c r="V213" s="18" t="s">
        <v>1025</v>
      </c>
      <c r="W213" s="16">
        <v>1</v>
      </c>
      <c r="X213" s="16">
        <v>178.42</v>
      </c>
      <c r="Y213" s="16">
        <v>257</v>
      </c>
      <c r="Z213" s="679" t="s">
        <v>279</v>
      </c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</row>
    <row r="214" spans="1:56" s="175" customFormat="1" ht="12" customHeight="1">
      <c r="A214" s="18" t="s">
        <v>993</v>
      </c>
      <c r="B214" s="583">
        <v>45817</v>
      </c>
      <c r="C214" s="18" t="s">
        <v>995</v>
      </c>
      <c r="D214" s="58" t="s">
        <v>966</v>
      </c>
      <c r="E214" s="16" t="s">
        <v>45</v>
      </c>
      <c r="F214" s="66">
        <v>45820</v>
      </c>
      <c r="G214" s="16" t="s">
        <v>583</v>
      </c>
      <c r="H214" s="194" t="s">
        <v>996</v>
      </c>
      <c r="I214" s="235"/>
      <c r="J214" s="57">
        <v>4546329114</v>
      </c>
      <c r="K214" s="173"/>
      <c r="L214" s="168"/>
      <c r="M214" s="16" t="s">
        <v>73</v>
      </c>
      <c r="N214" s="829">
        <v>26267</v>
      </c>
      <c r="O214" s="16"/>
      <c r="P214" s="16"/>
      <c r="Q214" s="16"/>
      <c r="R214" s="16" t="s">
        <v>15</v>
      </c>
      <c r="S214" s="16">
        <v>5</v>
      </c>
      <c r="T214" s="16">
        <v>2369</v>
      </c>
      <c r="U214" s="16">
        <v>1</v>
      </c>
      <c r="V214" s="13"/>
      <c r="W214" s="16"/>
      <c r="X214" s="16"/>
      <c r="Y214" s="16"/>
      <c r="Z214" s="194" t="s">
        <v>994</v>
      </c>
    </row>
    <row r="215" spans="1:56" s="18" customFormat="1" ht="25.5" customHeight="1">
      <c r="A215" s="128" t="s">
        <v>1013</v>
      </c>
      <c r="B215" s="210">
        <v>45817</v>
      </c>
      <c r="C215" s="131" t="s">
        <v>1117</v>
      </c>
      <c r="D215" s="165" t="s">
        <v>909</v>
      </c>
      <c r="E215" s="166" t="s">
        <v>45</v>
      </c>
      <c r="F215" s="210" t="s">
        <v>1109</v>
      </c>
      <c r="G215" s="166" t="s">
        <v>583</v>
      </c>
      <c r="H215" s="224" t="s">
        <v>1108</v>
      </c>
      <c r="I215" s="165"/>
      <c r="J215" s="361"/>
      <c r="K215" s="208"/>
      <c r="L215" s="128" t="s">
        <v>997</v>
      </c>
      <c r="M215" s="166" t="s">
        <v>73</v>
      </c>
      <c r="N215" s="166" t="s">
        <v>15</v>
      </c>
      <c r="O215" s="166" t="s">
        <v>1023</v>
      </c>
      <c r="P215" s="166"/>
      <c r="Q215" s="166"/>
      <c r="R215" s="166" t="s">
        <v>15</v>
      </c>
      <c r="S215" s="166">
        <v>0.5</v>
      </c>
      <c r="T215" s="166"/>
      <c r="U215" s="207">
        <v>1</v>
      </c>
      <c r="V215" s="209" t="s">
        <v>1116</v>
      </c>
      <c r="W215" s="166" t="s">
        <v>1110</v>
      </c>
      <c r="X215" s="166"/>
      <c r="Y215" s="166" t="s">
        <v>1115</v>
      </c>
      <c r="Z215" s="226" t="s">
        <v>945</v>
      </c>
    </row>
    <row r="216" spans="1:56" s="18" customFormat="1" ht="12" customHeight="1">
      <c r="A216" s="18" t="s">
        <v>443</v>
      </c>
      <c r="B216" s="583">
        <v>45817</v>
      </c>
      <c r="C216" s="228" t="s">
        <v>999</v>
      </c>
      <c r="D216" s="231" t="s">
        <v>15</v>
      </c>
      <c r="E216" s="229"/>
      <c r="F216" s="230"/>
      <c r="G216" s="231"/>
      <c r="H216" s="232" t="s">
        <v>1112</v>
      </c>
      <c r="I216" s="58"/>
      <c r="J216" s="57"/>
      <c r="K216" s="173"/>
      <c r="M216" s="16" t="s">
        <v>73</v>
      </c>
      <c r="N216" s="829" t="s">
        <v>1024</v>
      </c>
      <c r="O216" s="16" t="s">
        <v>1028</v>
      </c>
      <c r="P216" s="16"/>
      <c r="Q216" s="16"/>
      <c r="R216" s="16" t="s">
        <v>15</v>
      </c>
      <c r="S216" s="16">
        <v>0.5</v>
      </c>
      <c r="T216" s="16"/>
      <c r="U216" s="112">
        <v>0.9</v>
      </c>
      <c r="W216" s="16"/>
      <c r="X216" s="16"/>
      <c r="Y216" s="16"/>
      <c r="Z216" s="679" t="s">
        <v>279</v>
      </c>
    </row>
    <row r="217" spans="1:56" s="18" customFormat="1" ht="12" customHeight="1">
      <c r="A217" s="306" t="s">
        <v>1001</v>
      </c>
      <c r="B217" s="307">
        <v>45818</v>
      </c>
      <c r="C217" s="306" t="s">
        <v>1002</v>
      </c>
      <c r="D217" s="133" t="s">
        <v>909</v>
      </c>
      <c r="E217" s="127" t="s">
        <v>45</v>
      </c>
      <c r="F217" s="307">
        <v>45820</v>
      </c>
      <c r="G217" s="133"/>
      <c r="H217" s="308" t="s">
        <v>1003</v>
      </c>
      <c r="I217" s="133"/>
      <c r="J217" s="358">
        <v>4547665768</v>
      </c>
      <c r="K217" s="309"/>
      <c r="L217" s="306"/>
      <c r="M217" s="127" t="s">
        <v>73</v>
      </c>
      <c r="N217" s="824"/>
      <c r="O217" s="127"/>
      <c r="P217" s="127"/>
      <c r="Q217" s="127"/>
      <c r="R217" s="127"/>
      <c r="S217" s="127"/>
      <c r="T217" s="127"/>
      <c r="U217" s="127"/>
      <c r="V217" s="306"/>
      <c r="W217" s="127"/>
      <c r="X217" s="127"/>
      <c r="Y217" s="127"/>
      <c r="Z217" s="312" t="s">
        <v>363</v>
      </c>
    </row>
    <row r="218" spans="1:56" s="18" customFormat="1" ht="12" customHeight="1">
      <c r="A218" s="18" t="s">
        <v>1054</v>
      </c>
      <c r="B218" s="583">
        <v>45819</v>
      </c>
      <c r="C218" s="513">
        <v>400618036</v>
      </c>
      <c r="D218" s="58" t="s">
        <v>15</v>
      </c>
      <c r="E218" s="16" t="s">
        <v>45</v>
      </c>
      <c r="F218" s="66">
        <v>45833</v>
      </c>
      <c r="G218" s="58" t="s">
        <v>1050</v>
      </c>
      <c r="H218" s="194" t="s">
        <v>1053</v>
      </c>
      <c r="I218" s="58"/>
      <c r="J218" s="57"/>
      <c r="K218" s="173"/>
      <c r="M218" s="16" t="s">
        <v>73</v>
      </c>
      <c r="N218" s="828">
        <v>26714</v>
      </c>
      <c r="O218" s="16" t="s">
        <v>1070</v>
      </c>
      <c r="P218" s="16"/>
      <c r="Q218" s="16" t="s">
        <v>1135</v>
      </c>
      <c r="R218" s="16"/>
      <c r="S218" s="16">
        <v>12</v>
      </c>
      <c r="T218" s="16"/>
      <c r="U218" s="112">
        <v>0.99</v>
      </c>
      <c r="W218" s="16"/>
      <c r="X218" s="16"/>
      <c r="Y218" s="252">
        <v>3455</v>
      </c>
      <c r="Z218" s="679" t="s">
        <v>824</v>
      </c>
    </row>
    <row r="219" spans="1:56" s="18" customFormat="1" ht="12" customHeight="1">
      <c r="A219" s="18" t="s">
        <v>1001</v>
      </c>
      <c r="B219" s="583">
        <v>45819</v>
      </c>
      <c r="C219" s="18" t="s">
        <v>1014</v>
      </c>
      <c r="D219" s="58" t="s">
        <v>909</v>
      </c>
      <c r="E219" s="16" t="s">
        <v>671</v>
      </c>
      <c r="F219" s="66">
        <v>45826</v>
      </c>
      <c r="G219" s="58" t="s">
        <v>583</v>
      </c>
      <c r="H219" s="194" t="s">
        <v>1015</v>
      </c>
      <c r="I219" s="58"/>
      <c r="J219" s="57"/>
      <c r="K219" s="173"/>
      <c r="M219" s="16" t="s">
        <v>73</v>
      </c>
      <c r="N219" s="829"/>
      <c r="O219" s="58"/>
      <c r="P219" s="58"/>
      <c r="Q219" s="16"/>
      <c r="R219" s="16"/>
      <c r="S219" s="16"/>
      <c r="T219" s="16"/>
      <c r="U219" s="16"/>
      <c r="W219" s="16"/>
      <c r="X219" s="16"/>
      <c r="Y219" s="16"/>
      <c r="Z219" s="679" t="s">
        <v>363</v>
      </c>
    </row>
    <row r="220" spans="1:56" s="18" customFormat="1" ht="25.5" customHeight="1">
      <c r="A220" s="18" t="s">
        <v>1016</v>
      </c>
      <c r="B220" s="583">
        <v>45819</v>
      </c>
      <c r="C220" s="18" t="s">
        <v>1017</v>
      </c>
      <c r="D220" s="58" t="s">
        <v>909</v>
      </c>
      <c r="E220" s="16" t="s">
        <v>45</v>
      </c>
      <c r="F220" s="66">
        <v>45827</v>
      </c>
      <c r="G220" s="58" t="s">
        <v>583</v>
      </c>
      <c r="H220" s="205" t="s">
        <v>1052</v>
      </c>
      <c r="I220" s="695"/>
      <c r="J220" s="57"/>
      <c r="K220" s="173"/>
      <c r="M220" s="16" t="s">
        <v>73</v>
      </c>
      <c r="N220" s="828">
        <v>26480</v>
      </c>
      <c r="O220" s="16"/>
      <c r="P220" s="16"/>
      <c r="Q220" s="16"/>
      <c r="R220" s="16"/>
      <c r="S220" s="16">
        <v>2.5</v>
      </c>
      <c r="T220" s="16">
        <v>1065</v>
      </c>
      <c r="U220" s="112">
        <v>1</v>
      </c>
      <c r="W220" s="16"/>
      <c r="X220" s="16"/>
      <c r="Y220" s="16" t="s">
        <v>1046</v>
      </c>
      <c r="Z220" s="679" t="s">
        <v>1027</v>
      </c>
    </row>
    <row r="221" spans="1:56" s="18" customFormat="1" ht="12" customHeight="1">
      <c r="A221" s="18" t="s">
        <v>443</v>
      </c>
      <c r="B221" s="583">
        <v>45820</v>
      </c>
      <c r="C221" s="18" t="s">
        <v>1033</v>
      </c>
      <c r="D221" s="58" t="s">
        <v>15</v>
      </c>
      <c r="E221" s="16" t="s">
        <v>45</v>
      </c>
      <c r="F221" s="66">
        <v>45828</v>
      </c>
      <c r="G221" s="58"/>
      <c r="H221" s="194" t="s">
        <v>1034</v>
      </c>
      <c r="I221" s="58">
        <v>4544824598</v>
      </c>
      <c r="J221" s="57">
        <v>4546312456</v>
      </c>
      <c r="K221" s="173"/>
      <c r="L221" s="18" t="s">
        <v>1035</v>
      </c>
      <c r="M221" s="16" t="s">
        <v>73</v>
      </c>
      <c r="N221" s="829"/>
      <c r="O221" s="16"/>
      <c r="P221" s="16"/>
      <c r="Q221" s="16"/>
      <c r="R221" s="16"/>
      <c r="S221" s="16"/>
      <c r="T221" s="16"/>
      <c r="U221" s="16"/>
      <c r="V221" s="168" t="s">
        <v>1036</v>
      </c>
      <c r="W221" s="16" t="s">
        <v>1037</v>
      </c>
      <c r="X221" s="16"/>
      <c r="Y221" s="16">
        <v>86</v>
      </c>
      <c r="Z221" s="679" t="s">
        <v>279</v>
      </c>
    </row>
    <row r="222" spans="1:56" s="18" customFormat="1" ht="12" customHeight="1">
      <c r="A222" s="20" t="s">
        <v>1039</v>
      </c>
      <c r="B222" s="88">
        <v>45827</v>
      </c>
      <c r="C222" s="20" t="s">
        <v>1042</v>
      </c>
      <c r="D222" s="96" t="s">
        <v>15</v>
      </c>
      <c r="E222" s="22" t="s">
        <v>45</v>
      </c>
      <c r="F222" s="88">
        <v>45827</v>
      </c>
      <c r="G222" s="96" t="s">
        <v>848</v>
      </c>
      <c r="H222" s="197">
        <v>11827079</v>
      </c>
      <c r="I222" s="96"/>
      <c r="J222" s="111">
        <v>4546562673</v>
      </c>
      <c r="K222" s="198"/>
      <c r="L222" s="20"/>
      <c r="M222" s="22" t="s">
        <v>73</v>
      </c>
      <c r="N222" s="22"/>
      <c r="O222" s="22"/>
      <c r="P222" s="22"/>
      <c r="Q222" s="22"/>
      <c r="R222" s="22"/>
      <c r="S222" s="22"/>
      <c r="T222" s="22"/>
      <c r="U222" s="22"/>
      <c r="V222" s="171" t="s">
        <v>1041</v>
      </c>
      <c r="W222" s="22" t="s">
        <v>1043</v>
      </c>
      <c r="X222" s="22" t="s">
        <v>1044</v>
      </c>
      <c r="Y222" s="22" t="s">
        <v>1045</v>
      </c>
      <c r="Z222" s="62" t="s">
        <v>1040</v>
      </c>
    </row>
    <row r="223" spans="1:56" s="11" customFormat="1" ht="12" customHeight="1">
      <c r="A223" s="11" t="s">
        <v>443</v>
      </c>
      <c r="B223" s="583">
        <v>45831</v>
      </c>
      <c r="C223" s="18" t="s">
        <v>1057</v>
      </c>
      <c r="D223" s="58" t="s">
        <v>15</v>
      </c>
      <c r="E223" s="7" t="s">
        <v>45</v>
      </c>
      <c r="F223" s="64">
        <v>45832</v>
      </c>
      <c r="G223" s="58" t="s">
        <v>848</v>
      </c>
      <c r="H223" s="178" t="s">
        <v>1051</v>
      </c>
      <c r="I223" s="696">
        <v>4539473127</v>
      </c>
      <c r="J223" s="57">
        <v>4546361714</v>
      </c>
      <c r="K223" s="173"/>
      <c r="L223" s="102" t="s">
        <v>1059</v>
      </c>
      <c r="M223" s="7" t="s">
        <v>73</v>
      </c>
      <c r="N223" s="829" t="s">
        <v>15</v>
      </c>
      <c r="O223" s="16" t="s">
        <v>15</v>
      </c>
      <c r="P223" s="16"/>
      <c r="Q223" s="16" t="s">
        <v>15</v>
      </c>
      <c r="R223" s="16" t="s">
        <v>15</v>
      </c>
      <c r="S223" s="16" t="s">
        <v>15</v>
      </c>
      <c r="T223" s="16" t="s">
        <v>15</v>
      </c>
      <c r="U223" s="16" t="s">
        <v>15</v>
      </c>
      <c r="V223" s="168" t="s">
        <v>1059</v>
      </c>
      <c r="W223" s="7">
        <v>8</v>
      </c>
      <c r="X223" s="7"/>
      <c r="Y223" s="16" t="s">
        <v>1067</v>
      </c>
      <c r="Z223" s="679" t="s">
        <v>279</v>
      </c>
    </row>
    <row r="224" spans="1:56" s="18" customFormat="1" ht="12" customHeight="1">
      <c r="A224" s="18" t="s">
        <v>522</v>
      </c>
      <c r="B224" s="583">
        <v>45831</v>
      </c>
      <c r="C224" s="18" t="s">
        <v>1055</v>
      </c>
      <c r="D224" s="58" t="s">
        <v>142</v>
      </c>
      <c r="E224" s="16" t="s">
        <v>45</v>
      </c>
      <c r="F224" s="66">
        <v>45831</v>
      </c>
      <c r="G224" s="16" t="s">
        <v>848</v>
      </c>
      <c r="H224" s="178" t="s">
        <v>1056</v>
      </c>
      <c r="I224" s="235">
        <v>4544630036</v>
      </c>
      <c r="J224" s="57"/>
      <c r="K224" s="173"/>
      <c r="L224" s="56" t="s">
        <v>1058</v>
      </c>
      <c r="M224" s="16" t="s">
        <v>73</v>
      </c>
      <c r="N224" s="829" t="s">
        <v>15</v>
      </c>
      <c r="O224" s="16" t="s">
        <v>15</v>
      </c>
      <c r="P224" s="16"/>
      <c r="Q224" s="16" t="s">
        <v>15</v>
      </c>
      <c r="R224" s="16" t="s">
        <v>15</v>
      </c>
      <c r="S224" s="16" t="s">
        <v>15</v>
      </c>
      <c r="T224" s="16" t="s">
        <v>15</v>
      </c>
      <c r="U224" s="16" t="s">
        <v>15</v>
      </c>
      <c r="V224" s="13" t="s">
        <v>1160</v>
      </c>
      <c r="W224" s="16">
        <v>2</v>
      </c>
      <c r="X224" s="16">
        <v>5.44</v>
      </c>
      <c r="Y224" s="16">
        <v>89</v>
      </c>
      <c r="Z224" s="679" t="s">
        <v>122</v>
      </c>
    </row>
    <row r="225" spans="1:26" s="130" customFormat="1" ht="12.75" customHeight="1">
      <c r="A225" s="130" t="s">
        <v>842</v>
      </c>
      <c r="B225" s="98">
        <v>45832</v>
      </c>
      <c r="C225" s="130" t="s">
        <v>1068</v>
      </c>
      <c r="D225" s="58" t="s">
        <v>15</v>
      </c>
      <c r="E225" s="16" t="s">
        <v>45</v>
      </c>
      <c r="F225" s="66">
        <v>45832</v>
      </c>
      <c r="G225" s="16" t="s">
        <v>848</v>
      </c>
      <c r="H225" s="234" t="s">
        <v>1069</v>
      </c>
      <c r="I225" s="235">
        <v>4546332069</v>
      </c>
      <c r="J225" s="358">
        <v>4546533278</v>
      </c>
      <c r="K225" s="157"/>
      <c r="L225" s="60" t="s">
        <v>1073</v>
      </c>
      <c r="M225" s="58" t="s">
        <v>73</v>
      </c>
      <c r="N225" s="828"/>
      <c r="O225" s="58"/>
      <c r="P225" s="58"/>
      <c r="Q225" s="58"/>
      <c r="R225" s="58"/>
      <c r="S225" s="58"/>
      <c r="T225" s="58"/>
      <c r="U225" s="16"/>
      <c r="V225" s="13" t="s">
        <v>1074</v>
      </c>
      <c r="W225" s="16">
        <v>2</v>
      </c>
      <c r="X225" s="16" t="s">
        <v>1076</v>
      </c>
      <c r="Y225" s="16">
        <v>110.5</v>
      </c>
      <c r="Z225" s="679" t="s">
        <v>1075</v>
      </c>
    </row>
    <row r="226" spans="1:26" s="18" customFormat="1" ht="12" customHeight="1">
      <c r="A226" s="18" t="s">
        <v>842</v>
      </c>
      <c r="B226" s="583">
        <v>45833</v>
      </c>
      <c r="C226" s="18" t="s">
        <v>1071</v>
      </c>
      <c r="D226" s="58" t="s">
        <v>1091</v>
      </c>
      <c r="E226" s="16" t="s">
        <v>45</v>
      </c>
      <c r="F226" s="66">
        <v>45845</v>
      </c>
      <c r="G226" s="16" t="s">
        <v>848</v>
      </c>
      <c r="H226" s="178" t="s">
        <v>1118</v>
      </c>
      <c r="I226" s="235">
        <v>4542902864</v>
      </c>
      <c r="J226" s="57"/>
      <c r="K226" s="173"/>
      <c r="L226" s="56" t="s">
        <v>1072</v>
      </c>
      <c r="M226" s="16" t="s">
        <v>73</v>
      </c>
      <c r="N226" s="829"/>
      <c r="O226" s="16"/>
      <c r="P226" s="16"/>
      <c r="Q226" s="16" t="s">
        <v>1135</v>
      </c>
      <c r="R226" s="16"/>
      <c r="S226" s="16">
        <v>0.5</v>
      </c>
      <c r="T226" s="16"/>
      <c r="U226" s="112">
        <v>1</v>
      </c>
      <c r="V226" t="s">
        <v>1025</v>
      </c>
      <c r="W226" s="16">
        <v>1</v>
      </c>
      <c r="X226" s="16">
        <v>178.42</v>
      </c>
      <c r="Y226" s="16">
        <v>256.72000000000003</v>
      </c>
      <c r="Z226" s="679" t="s">
        <v>1075</v>
      </c>
    </row>
    <row r="227" spans="1:26" s="18" customFormat="1" ht="12" customHeight="1">
      <c r="A227" s="18" t="s">
        <v>842</v>
      </c>
      <c r="B227" s="583">
        <v>45834</v>
      </c>
      <c r="C227" s="18" t="s">
        <v>1077</v>
      </c>
      <c r="D227" s="58" t="s">
        <v>142</v>
      </c>
      <c r="E227" s="16" t="s">
        <v>45</v>
      </c>
      <c r="F227" s="66">
        <v>45834</v>
      </c>
      <c r="G227" s="58" t="s">
        <v>848</v>
      </c>
      <c r="H227" s="178" t="s">
        <v>1056</v>
      </c>
      <c r="I227" s="235">
        <v>4545509531</v>
      </c>
      <c r="J227" s="57"/>
      <c r="K227" s="16" t="s">
        <v>15</v>
      </c>
      <c r="L227" s="56" t="s">
        <v>1078</v>
      </c>
      <c r="M227" s="16" t="s">
        <v>73</v>
      </c>
      <c r="N227" s="829" t="s">
        <v>15</v>
      </c>
      <c r="O227" s="16" t="s">
        <v>15</v>
      </c>
      <c r="P227" s="16"/>
      <c r="Q227" s="16" t="s">
        <v>15</v>
      </c>
      <c r="R227" s="16" t="s">
        <v>15</v>
      </c>
      <c r="S227" s="16" t="s">
        <v>15</v>
      </c>
      <c r="T227" s="16" t="s">
        <v>15</v>
      </c>
      <c r="U227" s="16" t="s">
        <v>15</v>
      </c>
      <c r="V227" t="s">
        <v>1079</v>
      </c>
      <c r="W227" s="16">
        <v>5</v>
      </c>
      <c r="X227" s="16">
        <v>7.93</v>
      </c>
      <c r="Y227" s="16" t="s">
        <v>1080</v>
      </c>
      <c r="Z227" s="679" t="s">
        <v>1075</v>
      </c>
    </row>
    <row r="228" spans="1:26" s="18" customFormat="1" ht="12" customHeight="1">
      <c r="A228" s="18" t="s">
        <v>1125</v>
      </c>
      <c r="B228" s="583">
        <v>45834</v>
      </c>
      <c r="C228" s="130" t="s">
        <v>1081</v>
      </c>
      <c r="D228" s="58" t="s">
        <v>15</v>
      </c>
      <c r="E228" s="16" t="s">
        <v>45</v>
      </c>
      <c r="F228" s="66">
        <v>45845</v>
      </c>
      <c r="G228" s="16" t="s">
        <v>583</v>
      </c>
      <c r="H228" s="211"/>
      <c r="I228" s="235" t="s">
        <v>15</v>
      </c>
      <c r="J228" s="57"/>
      <c r="K228" s="174"/>
      <c r="L228" s="56" t="s">
        <v>1123</v>
      </c>
      <c r="M228" s="16" t="s">
        <v>73</v>
      </c>
      <c r="N228" s="829" t="s">
        <v>1121</v>
      </c>
      <c r="O228" s="16" t="s">
        <v>1122</v>
      </c>
      <c r="P228" s="16"/>
      <c r="Q228" s="16" t="s">
        <v>1135</v>
      </c>
      <c r="R228" s="16"/>
      <c r="S228" s="16">
        <v>8</v>
      </c>
      <c r="T228" s="16"/>
      <c r="U228" s="112">
        <v>1</v>
      </c>
      <c r="V228" s="212"/>
      <c r="W228" s="16"/>
      <c r="X228" s="16"/>
      <c r="Y228" s="16">
        <v>5811.84</v>
      </c>
      <c r="Z228" s="679" t="s">
        <v>822</v>
      </c>
    </row>
    <row r="229" spans="1:26" s="18" customFormat="1" ht="24" customHeight="1">
      <c r="A229" s="18" t="s">
        <v>1013</v>
      </c>
      <c r="B229" s="583">
        <v>45834</v>
      </c>
      <c r="C229" s="273" t="s">
        <v>1082</v>
      </c>
      <c r="D229" s="58" t="s">
        <v>1083</v>
      </c>
      <c r="E229" s="16" t="s">
        <v>923</v>
      </c>
      <c r="F229" s="66" t="s">
        <v>1241</v>
      </c>
      <c r="G229" s="16" t="s">
        <v>583</v>
      </c>
      <c r="H229" s="178"/>
      <c r="I229" s="235"/>
      <c r="J229" s="57"/>
      <c r="K229" s="173"/>
      <c r="L229" s="56" t="s">
        <v>1084</v>
      </c>
      <c r="M229" s="16" t="s">
        <v>73</v>
      </c>
      <c r="N229" s="829">
        <v>27091</v>
      </c>
      <c r="O229" s="16"/>
      <c r="P229" s="16"/>
      <c r="Q229" s="16" t="s">
        <v>1135</v>
      </c>
      <c r="R229" s="16"/>
      <c r="S229" s="16">
        <v>2.5</v>
      </c>
      <c r="T229" s="16"/>
      <c r="U229" s="112">
        <v>1</v>
      </c>
      <c r="V229" s="13"/>
      <c r="W229" s="16"/>
      <c r="X229" s="16"/>
      <c r="Y229" s="16"/>
      <c r="Z229" s="679" t="s">
        <v>945</v>
      </c>
    </row>
    <row r="230" spans="1:26" s="18" customFormat="1" ht="12" customHeight="1">
      <c r="A230" s="18" t="s">
        <v>842</v>
      </c>
      <c r="B230" s="583">
        <v>45834</v>
      </c>
      <c r="C230" s="18" t="s">
        <v>1085</v>
      </c>
      <c r="D230" s="58" t="s">
        <v>1091</v>
      </c>
      <c r="E230" s="16" t="s">
        <v>45</v>
      </c>
      <c r="F230" s="66">
        <v>45834</v>
      </c>
      <c r="G230" s="58" t="s">
        <v>583</v>
      </c>
      <c r="H230" s="194" t="s">
        <v>1092</v>
      </c>
      <c r="I230" s="235">
        <v>4546048493</v>
      </c>
      <c r="J230" s="57">
        <v>4546452993</v>
      </c>
      <c r="K230" s="16" t="s">
        <v>15</v>
      </c>
      <c r="L230" s="56" t="s">
        <v>1089</v>
      </c>
      <c r="M230" s="16" t="s">
        <v>73</v>
      </c>
      <c r="N230" s="829" t="s">
        <v>15</v>
      </c>
      <c r="O230" s="16" t="s">
        <v>15</v>
      </c>
      <c r="P230" s="16"/>
      <c r="Q230" s="16" t="s">
        <v>15</v>
      </c>
      <c r="R230" s="16" t="s">
        <v>15</v>
      </c>
      <c r="S230" s="16" t="s">
        <v>15</v>
      </c>
      <c r="T230" s="16" t="s">
        <v>15</v>
      </c>
      <c r="U230" s="16" t="s">
        <v>15</v>
      </c>
      <c r="V230" s="13" t="s">
        <v>1087</v>
      </c>
      <c r="W230" s="16" t="s">
        <v>1086</v>
      </c>
      <c r="X230" s="16" t="s">
        <v>1088</v>
      </c>
      <c r="Y230" s="16" t="s">
        <v>1090</v>
      </c>
      <c r="Z230" s="679" t="s">
        <v>1075</v>
      </c>
    </row>
    <row r="231" spans="1:26" s="11" customFormat="1" ht="12" customHeight="1">
      <c r="A231" s="213" t="s">
        <v>1054</v>
      </c>
      <c r="B231" s="582">
        <v>45834</v>
      </c>
      <c r="C231" s="279">
        <v>303566762</v>
      </c>
      <c r="D231" s="60"/>
      <c r="E231" s="16" t="s">
        <v>45</v>
      </c>
      <c r="F231" s="215">
        <v>45848</v>
      </c>
      <c r="G231" s="216" t="s">
        <v>1050</v>
      </c>
      <c r="H231" s="217" t="s">
        <v>1093</v>
      </c>
      <c r="I231" s="235" t="s">
        <v>15</v>
      </c>
      <c r="J231" s="57"/>
      <c r="K231" s="347"/>
      <c r="L231" s="56" t="s">
        <v>1130</v>
      </c>
      <c r="M231" s="218" t="s">
        <v>73</v>
      </c>
      <c r="N231" s="218">
        <v>26982</v>
      </c>
      <c r="O231" s="218" t="s">
        <v>1124</v>
      </c>
      <c r="P231" s="218"/>
      <c r="Q231" s="166" t="s">
        <v>1135</v>
      </c>
      <c r="R231" s="218"/>
      <c r="S231" s="218">
        <v>8</v>
      </c>
      <c r="T231" s="218">
        <v>287</v>
      </c>
      <c r="U231" s="219">
        <v>1</v>
      </c>
      <c r="V231" s="220"/>
      <c r="W231" s="214">
        <v>25</v>
      </c>
      <c r="X231" s="214"/>
      <c r="Y231" s="218">
        <v>1537</v>
      </c>
      <c r="Z231" s="279" t="s">
        <v>824</v>
      </c>
    </row>
    <row r="232" spans="1:26" s="11" customFormat="1" ht="12" customHeight="1">
      <c r="A232" s="213" t="s">
        <v>1054</v>
      </c>
      <c r="B232" s="582">
        <v>45834</v>
      </c>
      <c r="C232" s="279">
        <v>303566762</v>
      </c>
      <c r="D232" s="60"/>
      <c r="E232" s="16" t="s">
        <v>45</v>
      </c>
      <c r="F232" s="215">
        <v>45848</v>
      </c>
      <c r="G232" s="216" t="s">
        <v>1050</v>
      </c>
      <c r="H232" s="221" t="s">
        <v>1128</v>
      </c>
      <c r="I232" s="235" t="s">
        <v>15</v>
      </c>
      <c r="J232" s="57"/>
      <c r="K232" s="347"/>
      <c r="L232" s="56" t="s">
        <v>1129</v>
      </c>
      <c r="M232" s="218" t="s">
        <v>73</v>
      </c>
      <c r="N232" s="218"/>
      <c r="O232" s="218"/>
      <c r="P232" s="218"/>
      <c r="Q232" s="218"/>
      <c r="R232" s="218"/>
      <c r="S232" s="218"/>
      <c r="T232" s="218"/>
      <c r="U232" s="219"/>
      <c r="V232" s="220"/>
      <c r="W232" s="214">
        <v>65</v>
      </c>
      <c r="X232" s="214"/>
      <c r="Y232" s="218">
        <v>1611</v>
      </c>
      <c r="Z232" s="279" t="s">
        <v>824</v>
      </c>
    </row>
    <row r="233" spans="1:26" s="56" customFormat="1" ht="27.75" customHeight="1">
      <c r="A233" s="62" t="s">
        <v>522</v>
      </c>
      <c r="B233" s="88" t="s">
        <v>1095</v>
      </c>
      <c r="C233" s="62" t="s">
        <v>1097</v>
      </c>
      <c r="D233" s="239"/>
      <c r="E233" s="22" t="s">
        <v>923</v>
      </c>
      <c r="F233" s="88">
        <v>45846</v>
      </c>
      <c r="G233" s="96" t="s">
        <v>583</v>
      </c>
      <c r="H233" s="202" t="s">
        <v>1096</v>
      </c>
      <c r="I233" s="697">
        <v>4544416848</v>
      </c>
      <c r="J233" s="111">
        <v>4546560557</v>
      </c>
      <c r="K233" s="223"/>
      <c r="L233" s="239" t="s">
        <v>1094</v>
      </c>
      <c r="M233" s="22" t="s">
        <v>73</v>
      </c>
      <c r="N233" s="22">
        <v>27355</v>
      </c>
      <c r="O233" s="22"/>
      <c r="P233" s="22"/>
      <c r="Q233" s="22" t="s">
        <v>1135</v>
      </c>
      <c r="R233" s="22"/>
      <c r="S233" s="22">
        <v>0.5</v>
      </c>
      <c r="T233" s="22"/>
      <c r="U233" s="121">
        <v>1</v>
      </c>
      <c r="V233" s="171" t="s">
        <v>1159</v>
      </c>
      <c r="W233" s="22">
        <v>1</v>
      </c>
      <c r="X233" s="22">
        <v>98.21</v>
      </c>
      <c r="Y233" s="22">
        <v>177</v>
      </c>
      <c r="Z233" s="62" t="s">
        <v>122</v>
      </c>
    </row>
    <row r="234" spans="1:26" s="56" customFormat="1" ht="15.75" customHeight="1">
      <c r="A234" s="18" t="s">
        <v>842</v>
      </c>
      <c r="B234" s="583">
        <v>45838</v>
      </c>
      <c r="C234" s="513" t="s">
        <v>1098</v>
      </c>
      <c r="D234" s="58" t="s">
        <v>1091</v>
      </c>
      <c r="E234" s="16" t="s">
        <v>45</v>
      </c>
      <c r="F234" s="66">
        <v>45838</v>
      </c>
      <c r="G234" s="16" t="s">
        <v>583</v>
      </c>
      <c r="H234" s="168" t="s">
        <v>1100</v>
      </c>
      <c r="I234" s="235">
        <v>4544671498</v>
      </c>
      <c r="J234" s="57">
        <v>4546863791</v>
      </c>
      <c r="K234" s="16" t="s">
        <v>15</v>
      </c>
      <c r="L234" s="56" t="s">
        <v>1099</v>
      </c>
      <c r="M234" s="16" t="s">
        <v>73</v>
      </c>
      <c r="N234" s="829" t="s">
        <v>15</v>
      </c>
      <c r="O234" s="16" t="s">
        <v>15</v>
      </c>
      <c r="P234" s="16"/>
      <c r="Q234" s="16" t="s">
        <v>15</v>
      </c>
      <c r="R234" s="16" t="s">
        <v>15</v>
      </c>
      <c r="S234" s="16" t="s">
        <v>15</v>
      </c>
      <c r="T234" s="16" t="s">
        <v>15</v>
      </c>
      <c r="U234" s="16" t="s">
        <v>15</v>
      </c>
      <c r="V234" s="56" t="s">
        <v>1101</v>
      </c>
      <c r="W234" s="16">
        <v>2</v>
      </c>
      <c r="X234" s="16">
        <v>9.41</v>
      </c>
      <c r="Y234" s="16">
        <v>97.12</v>
      </c>
      <c r="Z234" s="679" t="s">
        <v>1075</v>
      </c>
    </row>
    <row r="235" spans="1:26" s="56" customFormat="1" ht="13.5" customHeight="1">
      <c r="A235" s="18" t="s">
        <v>1039</v>
      </c>
      <c r="B235" s="583">
        <v>45839</v>
      </c>
      <c r="C235" s="513">
        <v>11827080</v>
      </c>
      <c r="D235" s="58" t="s">
        <v>15</v>
      </c>
      <c r="E235" s="16" t="s">
        <v>45</v>
      </c>
      <c r="F235" s="66">
        <v>45839</v>
      </c>
      <c r="G235" s="58" t="s">
        <v>848</v>
      </c>
      <c r="H235" s="203">
        <v>11827080</v>
      </c>
      <c r="I235" s="235" t="s">
        <v>15</v>
      </c>
      <c r="J235" s="57">
        <v>4546562673</v>
      </c>
      <c r="K235" s="16" t="s">
        <v>15</v>
      </c>
      <c r="L235" s="13" t="s">
        <v>1041</v>
      </c>
      <c r="M235" s="16" t="s">
        <v>73</v>
      </c>
      <c r="N235" s="829" t="s">
        <v>15</v>
      </c>
      <c r="O235" s="16" t="s">
        <v>15</v>
      </c>
      <c r="P235" s="16"/>
      <c r="Q235" s="16" t="s">
        <v>15</v>
      </c>
      <c r="R235" s="16" t="s">
        <v>15</v>
      </c>
      <c r="S235" s="16" t="s">
        <v>15</v>
      </c>
      <c r="T235" s="16" t="s">
        <v>15</v>
      </c>
      <c r="U235" s="16" t="s">
        <v>15</v>
      </c>
      <c r="V235" s="13" t="s">
        <v>1041</v>
      </c>
      <c r="W235" s="16" t="s">
        <v>1043</v>
      </c>
      <c r="X235" s="16" t="s">
        <v>1044</v>
      </c>
      <c r="Y235" s="16" t="s">
        <v>1045</v>
      </c>
      <c r="Z235" s="679" t="s">
        <v>1040</v>
      </c>
    </row>
    <row r="236" spans="1:26" s="56" customFormat="1" ht="13.5" customHeight="1">
      <c r="A236" s="56" t="s">
        <v>1054</v>
      </c>
      <c r="B236" s="583">
        <v>45839</v>
      </c>
      <c r="C236" s="18" t="s">
        <v>1102</v>
      </c>
      <c r="D236" s="58" t="s">
        <v>15</v>
      </c>
      <c r="E236" s="16" t="s">
        <v>45</v>
      </c>
      <c r="F236" s="66">
        <v>45847</v>
      </c>
      <c r="G236" s="58" t="s">
        <v>583</v>
      </c>
      <c r="H236" s="56" t="s">
        <v>1151</v>
      </c>
      <c r="I236" s="235" t="s">
        <v>15</v>
      </c>
      <c r="J236" s="57"/>
      <c r="K236" s="16" t="s">
        <v>15</v>
      </c>
      <c r="M236" s="16" t="s">
        <v>73</v>
      </c>
      <c r="N236" s="829"/>
      <c r="O236" s="16"/>
      <c r="P236" s="16"/>
      <c r="Q236" s="16" t="s">
        <v>1135</v>
      </c>
      <c r="R236" s="16"/>
      <c r="S236" s="16">
        <v>8</v>
      </c>
      <c r="T236" s="16"/>
      <c r="U236" s="112">
        <v>1</v>
      </c>
      <c r="W236" s="16"/>
      <c r="X236" s="16" t="s">
        <v>1152</v>
      </c>
      <c r="Y236" s="16">
        <v>1358</v>
      </c>
      <c r="Z236" s="679" t="s">
        <v>824</v>
      </c>
    </row>
    <row r="237" spans="1:26" s="56" customFormat="1" ht="13.5" customHeight="1">
      <c r="A237" s="204" t="s">
        <v>98</v>
      </c>
      <c r="B237" s="583">
        <v>45839</v>
      </c>
      <c r="C237" s="513" t="s">
        <v>1103</v>
      </c>
      <c r="D237" s="58" t="s">
        <v>15</v>
      </c>
      <c r="E237" s="16" t="s">
        <v>45</v>
      </c>
      <c r="F237" s="66">
        <v>45842</v>
      </c>
      <c r="G237" s="58" t="s">
        <v>848</v>
      </c>
      <c r="H237" s="102" t="s">
        <v>1104</v>
      </c>
      <c r="I237" s="235">
        <v>4539849956</v>
      </c>
      <c r="J237" s="57"/>
      <c r="K237" s="126" t="s">
        <v>1105</v>
      </c>
      <c r="L237" s="102" t="s">
        <v>1119</v>
      </c>
      <c r="M237" s="16" t="s">
        <v>73</v>
      </c>
      <c r="N237" s="829"/>
      <c r="O237" s="16"/>
      <c r="P237" s="16"/>
      <c r="Q237" s="16" t="s">
        <v>1135</v>
      </c>
      <c r="R237" s="16"/>
      <c r="S237" s="16">
        <v>0.5</v>
      </c>
      <c r="T237" s="16"/>
      <c r="U237" s="112">
        <v>1</v>
      </c>
      <c r="V237" s="102" t="s">
        <v>1119</v>
      </c>
      <c r="W237" s="16">
        <v>1</v>
      </c>
      <c r="X237" s="16">
        <v>71.489999999999995</v>
      </c>
      <c r="Y237" s="16" t="s">
        <v>1120</v>
      </c>
      <c r="Z237" s="679" t="s">
        <v>279</v>
      </c>
    </row>
    <row r="238" spans="1:26" s="56" customFormat="1" ht="13.5" customHeight="1">
      <c r="A238" s="11" t="s">
        <v>933</v>
      </c>
      <c r="B238" s="583">
        <v>45841</v>
      </c>
      <c r="C238" s="513" t="s">
        <v>1106</v>
      </c>
      <c r="D238" s="58" t="s">
        <v>15</v>
      </c>
      <c r="E238" s="16" t="s">
        <v>45</v>
      </c>
      <c r="F238" s="66">
        <v>45841</v>
      </c>
      <c r="G238" s="58" t="s">
        <v>848</v>
      </c>
      <c r="H238" s="123" t="s">
        <v>1107</v>
      </c>
      <c r="I238" s="235" t="s">
        <v>15</v>
      </c>
      <c r="J238" s="57"/>
      <c r="K238" s="16" t="s">
        <v>15</v>
      </c>
      <c r="L238" s="56" t="s">
        <v>15</v>
      </c>
      <c r="M238" s="16" t="s">
        <v>73</v>
      </c>
      <c r="N238" s="829" t="s">
        <v>15</v>
      </c>
      <c r="O238" s="16" t="s">
        <v>15</v>
      </c>
      <c r="P238" s="16"/>
      <c r="Q238" s="16" t="s">
        <v>15</v>
      </c>
      <c r="R238" s="16" t="s">
        <v>15</v>
      </c>
      <c r="S238" s="16" t="s">
        <v>15</v>
      </c>
      <c r="T238" s="16" t="s">
        <v>15</v>
      </c>
      <c r="U238" s="16" t="s">
        <v>15</v>
      </c>
      <c r="V238" s="16" t="s">
        <v>15</v>
      </c>
      <c r="W238" s="16" t="s">
        <v>1111</v>
      </c>
      <c r="X238" s="16" t="s">
        <v>15</v>
      </c>
      <c r="Y238" s="16">
        <v>131</v>
      </c>
      <c r="Z238" s="679" t="s">
        <v>427</v>
      </c>
    </row>
    <row r="239" spans="1:26" s="56" customFormat="1" ht="13.5" customHeight="1">
      <c r="A239" s="62" t="s">
        <v>1114</v>
      </c>
      <c r="B239" s="88">
        <v>45842</v>
      </c>
      <c r="C239" s="62" t="s">
        <v>1113</v>
      </c>
      <c r="D239" s="96" t="s">
        <v>15</v>
      </c>
      <c r="E239" s="22" t="s">
        <v>45</v>
      </c>
      <c r="F239" s="88">
        <v>45855</v>
      </c>
      <c r="G239" s="22" t="s">
        <v>583</v>
      </c>
      <c r="H239" s="202" t="s">
        <v>1113</v>
      </c>
      <c r="I239" s="698" t="s">
        <v>15</v>
      </c>
      <c r="J239" s="111"/>
      <c r="K239" s="22" t="s">
        <v>15</v>
      </c>
      <c r="L239" s="62"/>
      <c r="M239" s="22" t="s">
        <v>73</v>
      </c>
      <c r="N239" s="22">
        <v>27623</v>
      </c>
      <c r="O239" s="22"/>
      <c r="P239" s="22"/>
      <c r="Q239" s="22" t="s">
        <v>1135</v>
      </c>
      <c r="R239" s="22"/>
      <c r="S239" s="22">
        <v>4</v>
      </c>
      <c r="T239" s="22"/>
      <c r="U239" s="22"/>
      <c r="V239" s="62"/>
      <c r="W239" s="22"/>
      <c r="X239" s="62"/>
      <c r="Y239" s="22">
        <v>3078</v>
      </c>
      <c r="Z239" s="62" t="s">
        <v>1140</v>
      </c>
    </row>
    <row r="240" spans="1:26" s="56" customFormat="1" ht="13.5" customHeight="1">
      <c r="A240" s="18" t="s">
        <v>522</v>
      </c>
      <c r="B240" s="583">
        <v>45845</v>
      </c>
      <c r="C240" s="513" t="s">
        <v>1126</v>
      </c>
      <c r="D240" s="58" t="s">
        <v>15</v>
      </c>
      <c r="E240" s="16" t="s">
        <v>45</v>
      </c>
      <c r="F240" s="66">
        <v>45846</v>
      </c>
      <c r="G240" s="16" t="s">
        <v>15</v>
      </c>
      <c r="H240" s="16" t="s">
        <v>15</v>
      </c>
      <c r="I240" s="235">
        <v>4545089481</v>
      </c>
      <c r="J240" s="57"/>
      <c r="K240" s="168"/>
      <c r="L240" s="56" t="s">
        <v>1127</v>
      </c>
      <c r="M240" s="16" t="s">
        <v>73</v>
      </c>
      <c r="N240" s="829"/>
      <c r="O240" s="16"/>
      <c r="P240" s="16"/>
      <c r="Q240" s="16" t="s">
        <v>1135</v>
      </c>
      <c r="R240" s="16"/>
      <c r="S240" s="16">
        <v>0.5</v>
      </c>
      <c r="T240" s="16"/>
      <c r="U240" s="112">
        <v>1</v>
      </c>
      <c r="V240" t="s">
        <v>1131</v>
      </c>
      <c r="W240" s="16">
        <v>1</v>
      </c>
      <c r="X240" s="16">
        <v>2.34</v>
      </c>
      <c r="Y240" s="16">
        <v>80</v>
      </c>
      <c r="Z240" s="679" t="s">
        <v>122</v>
      </c>
    </row>
    <row r="241" spans="1:28" s="56" customFormat="1" ht="13.5" customHeight="1">
      <c r="A241" s="204" t="s">
        <v>98</v>
      </c>
      <c r="B241" s="583">
        <v>45846</v>
      </c>
      <c r="C241" s="513" t="s">
        <v>1132</v>
      </c>
      <c r="D241" s="58" t="s">
        <v>15</v>
      </c>
      <c r="E241" s="16" t="s">
        <v>45</v>
      </c>
      <c r="F241" s="66">
        <v>45846</v>
      </c>
      <c r="G241" s="58" t="s">
        <v>583</v>
      </c>
      <c r="H241" s="211" t="s">
        <v>1134</v>
      </c>
      <c r="I241" s="235">
        <v>4545089481</v>
      </c>
      <c r="J241" s="57">
        <v>4546566098</v>
      </c>
      <c r="K241" s="200"/>
      <c r="L241" s="56" t="s">
        <v>1133</v>
      </c>
      <c r="M241" s="16" t="s">
        <v>73</v>
      </c>
      <c r="N241" s="829">
        <v>27340</v>
      </c>
      <c r="O241" s="16"/>
      <c r="P241" s="16"/>
      <c r="Q241" s="16" t="s">
        <v>1135</v>
      </c>
      <c r="R241" s="16"/>
      <c r="S241" s="16">
        <v>0.5</v>
      </c>
      <c r="T241" s="16"/>
      <c r="U241" s="112">
        <v>1</v>
      </c>
      <c r="V241" t="s">
        <v>1136</v>
      </c>
      <c r="W241" s="16">
        <v>1</v>
      </c>
      <c r="X241" s="16">
        <v>370.85</v>
      </c>
      <c r="Y241" s="16">
        <v>530</v>
      </c>
      <c r="Z241" s="679" t="s">
        <v>279</v>
      </c>
    </row>
    <row r="242" spans="1:28" s="56" customFormat="1" ht="25.5" customHeight="1">
      <c r="A242" s="11" t="s">
        <v>1137</v>
      </c>
      <c r="B242" s="583">
        <v>45846</v>
      </c>
      <c r="C242" s="513">
        <v>20132160</v>
      </c>
      <c r="D242" s="58" t="s">
        <v>1138</v>
      </c>
      <c r="E242" s="16" t="s">
        <v>671</v>
      </c>
      <c r="F242" s="66">
        <v>45846</v>
      </c>
      <c r="G242" s="58" t="s">
        <v>583</v>
      </c>
      <c r="H242" s="211" t="s">
        <v>1141</v>
      </c>
      <c r="I242" s="58" t="s">
        <v>15</v>
      </c>
      <c r="J242" s="57" t="s">
        <v>15</v>
      </c>
      <c r="K242" s="16" t="s">
        <v>15</v>
      </c>
      <c r="L242" s="56" t="s">
        <v>1145</v>
      </c>
      <c r="M242" s="16" t="s">
        <v>73</v>
      </c>
      <c r="N242" s="829" t="s">
        <v>15</v>
      </c>
      <c r="O242" s="16" t="s">
        <v>15</v>
      </c>
      <c r="P242" s="16"/>
      <c r="Q242" s="16" t="s">
        <v>15</v>
      </c>
      <c r="R242" s="16" t="s">
        <v>15</v>
      </c>
      <c r="S242" s="16" t="s">
        <v>15</v>
      </c>
      <c r="T242" s="16" t="s">
        <v>15</v>
      </c>
      <c r="U242" s="16" t="s">
        <v>15</v>
      </c>
      <c r="V242" s="16" t="s">
        <v>15</v>
      </c>
      <c r="W242" s="16" t="s">
        <v>15</v>
      </c>
      <c r="X242" s="16" t="s">
        <v>15</v>
      </c>
      <c r="Y242" s="16" t="s">
        <v>15</v>
      </c>
      <c r="Z242" s="679" t="s">
        <v>1139</v>
      </c>
    </row>
    <row r="243" spans="1:28" s="56" customFormat="1" ht="40.5" customHeight="1">
      <c r="A243" s="18" t="s">
        <v>933</v>
      </c>
      <c r="B243" s="583">
        <v>45846</v>
      </c>
      <c r="C243" s="513" t="s">
        <v>1142</v>
      </c>
      <c r="D243" s="60"/>
      <c r="E243" s="147" t="s">
        <v>1157</v>
      </c>
      <c r="F243" s="199"/>
      <c r="G243" s="58" t="s">
        <v>583</v>
      </c>
      <c r="H243" s="211" t="s">
        <v>1142</v>
      </c>
      <c r="I243" s="58"/>
      <c r="J243" s="839"/>
      <c r="K243" s="200"/>
      <c r="M243" s="16" t="s">
        <v>73</v>
      </c>
      <c r="N243" s="829"/>
      <c r="O243" s="16"/>
      <c r="P243" s="16"/>
      <c r="Q243" s="16"/>
      <c r="R243" s="16"/>
      <c r="S243" s="16"/>
      <c r="T243" s="16"/>
      <c r="U243" s="16"/>
      <c r="W243" s="16"/>
      <c r="Y243" s="16"/>
      <c r="Z243" s="689" t="s">
        <v>1144</v>
      </c>
    </row>
    <row r="244" spans="1:28" s="56" customFormat="1" ht="27.75" customHeight="1">
      <c r="A244" s="204" t="s">
        <v>1147</v>
      </c>
      <c r="B244" s="583">
        <v>45847</v>
      </c>
      <c r="C244" s="513" t="s">
        <v>1148</v>
      </c>
      <c r="D244" s="60"/>
      <c r="E244" s="16" t="s">
        <v>671</v>
      </c>
      <c r="F244" s="66">
        <v>45848</v>
      </c>
      <c r="G244" s="58" t="s">
        <v>583</v>
      </c>
      <c r="H244" s="211" t="s">
        <v>1149</v>
      </c>
      <c r="I244" s="58"/>
      <c r="J244" s="57"/>
      <c r="K244" s="200"/>
      <c r="M244" s="16" t="s">
        <v>73</v>
      </c>
      <c r="N244" s="829"/>
      <c r="O244" s="16"/>
      <c r="P244" s="16"/>
      <c r="Q244" s="16"/>
      <c r="R244" s="16"/>
      <c r="S244" s="16"/>
      <c r="T244" s="16"/>
      <c r="U244" s="16"/>
      <c r="V244" s="168" t="s">
        <v>1150</v>
      </c>
      <c r="W244" s="16"/>
      <c r="Y244" s="16"/>
      <c r="Z244" s="6" t="s">
        <v>122</v>
      </c>
    </row>
    <row r="245" spans="1:28" s="56" customFormat="1" ht="13.5" customHeight="1">
      <c r="A245" s="138" t="s">
        <v>1147</v>
      </c>
      <c r="B245" s="583">
        <v>45847</v>
      </c>
      <c r="C245" s="513" t="s">
        <v>1153</v>
      </c>
      <c r="D245" s="60"/>
      <c r="E245" s="16" t="s">
        <v>45</v>
      </c>
      <c r="F245" s="66">
        <v>45854</v>
      </c>
      <c r="G245" s="58" t="s">
        <v>848</v>
      </c>
      <c r="H245" s="211" t="s">
        <v>1154</v>
      </c>
      <c r="I245" s="58">
        <v>4545279248</v>
      </c>
      <c r="J245" s="57"/>
      <c r="K245" s="241"/>
      <c r="M245" s="16" t="s">
        <v>73</v>
      </c>
      <c r="N245" s="829"/>
      <c r="O245" s="16"/>
      <c r="P245" s="16"/>
      <c r="Q245" s="16"/>
      <c r="R245" s="16"/>
      <c r="S245" s="16"/>
      <c r="T245" s="16"/>
      <c r="U245" s="16"/>
      <c r="V245" s="242" t="s">
        <v>1182</v>
      </c>
      <c r="W245" s="16">
        <v>4</v>
      </c>
      <c r="X245" s="16">
        <v>43.3</v>
      </c>
      <c r="Y245" s="16">
        <v>252</v>
      </c>
      <c r="Z245" s="6" t="s">
        <v>122</v>
      </c>
    </row>
    <row r="246" spans="1:28" s="56" customFormat="1" ht="13.5" customHeight="1">
      <c r="A246" s="204" t="s">
        <v>98</v>
      </c>
      <c r="B246" s="583">
        <v>45847</v>
      </c>
      <c r="C246" s="513" t="s">
        <v>1155</v>
      </c>
      <c r="D246" s="60"/>
      <c r="E246" s="16" t="s">
        <v>45</v>
      </c>
      <c r="F246" s="66">
        <v>45854</v>
      </c>
      <c r="G246" s="16" t="s">
        <v>583</v>
      </c>
      <c r="H246" s="211" t="s">
        <v>1156</v>
      </c>
      <c r="I246" s="58">
        <v>4541726174</v>
      </c>
      <c r="J246" s="57">
        <v>4546722217</v>
      </c>
      <c r="K246" s="200"/>
      <c r="M246" s="16" t="s">
        <v>73</v>
      </c>
      <c r="N246" s="125">
        <v>27537</v>
      </c>
      <c r="O246" s="16"/>
      <c r="P246" s="16"/>
      <c r="Q246" s="16" t="s">
        <v>1135</v>
      </c>
      <c r="R246" s="16"/>
      <c r="S246" s="16"/>
      <c r="T246" s="16"/>
      <c r="U246" s="16"/>
      <c r="V246" s="102" t="s">
        <v>1181</v>
      </c>
      <c r="W246" s="16" t="s">
        <v>1179</v>
      </c>
      <c r="X246" s="56" t="s">
        <v>1180</v>
      </c>
      <c r="Y246" s="16">
        <v>110</v>
      </c>
      <c r="Z246" s="6" t="s">
        <v>279</v>
      </c>
    </row>
    <row r="247" spans="1:28" s="56" customFormat="1" ht="151.80000000000001">
      <c r="A247" s="130" t="s">
        <v>933</v>
      </c>
      <c r="B247" s="583">
        <v>45849</v>
      </c>
      <c r="C247" s="513" t="s">
        <v>1201</v>
      </c>
      <c r="D247" s="60"/>
      <c r="E247" s="16" t="s">
        <v>45</v>
      </c>
      <c r="F247" s="66">
        <v>45866</v>
      </c>
      <c r="G247" s="58"/>
      <c r="H247" s="211">
        <v>11838675</v>
      </c>
      <c r="I247" s="58">
        <v>4545089445</v>
      </c>
      <c r="J247" s="57"/>
      <c r="K247" s="200"/>
      <c r="L247" s="56" t="s">
        <v>1158</v>
      </c>
      <c r="M247" s="16" t="s">
        <v>73</v>
      </c>
      <c r="N247" s="829" t="s">
        <v>15</v>
      </c>
      <c r="O247" s="56" t="s">
        <v>1207</v>
      </c>
      <c r="Q247" s="16" t="s">
        <v>1190</v>
      </c>
      <c r="R247" s="16" t="s">
        <v>15</v>
      </c>
      <c r="S247" s="16">
        <v>1</v>
      </c>
      <c r="T247" s="16">
        <v>61.75</v>
      </c>
      <c r="U247" s="112">
        <v>1</v>
      </c>
      <c r="W247" s="16"/>
      <c r="Y247" s="16" t="s">
        <v>1208</v>
      </c>
      <c r="Z247" s="679" t="s">
        <v>427</v>
      </c>
    </row>
    <row r="248" spans="1:28" s="56" customFormat="1" ht="13.5" customHeight="1">
      <c r="A248" s="204" t="s">
        <v>98</v>
      </c>
      <c r="B248" s="583">
        <v>45849</v>
      </c>
      <c r="C248" s="513" t="s">
        <v>1161</v>
      </c>
      <c r="D248" s="60"/>
      <c r="E248" s="16" t="s">
        <v>923</v>
      </c>
      <c r="F248" s="66">
        <v>45853</v>
      </c>
      <c r="G248" s="16" t="s">
        <v>583</v>
      </c>
      <c r="H248" s="123" t="s">
        <v>1482</v>
      </c>
      <c r="I248" s="696">
        <v>4545279258</v>
      </c>
      <c r="J248" s="358">
        <v>4546738530</v>
      </c>
      <c r="K248" s="200"/>
      <c r="L248" s="56" t="s">
        <v>1162</v>
      </c>
      <c r="M248" s="16" t="s">
        <v>73</v>
      </c>
      <c r="N248" s="829"/>
      <c r="O248" s="16"/>
      <c r="P248" s="16"/>
      <c r="Q248" s="16" t="s">
        <v>1135</v>
      </c>
      <c r="R248" s="16"/>
      <c r="S248" s="16"/>
      <c r="T248" s="16"/>
      <c r="U248" s="16"/>
      <c r="V248" s="240" t="s">
        <v>1174</v>
      </c>
      <c r="W248" s="16">
        <v>1</v>
      </c>
      <c r="X248" s="16">
        <v>876.59</v>
      </c>
      <c r="Y248" s="16">
        <v>955</v>
      </c>
      <c r="Z248" s="178" t="s">
        <v>279</v>
      </c>
    </row>
    <row r="249" spans="1:28" s="56" customFormat="1" ht="13.5" customHeight="1">
      <c r="A249" s="204" t="s">
        <v>1147</v>
      </c>
      <c r="B249" s="583">
        <v>45849</v>
      </c>
      <c r="C249" s="513" t="s">
        <v>1163</v>
      </c>
      <c r="D249" s="60"/>
      <c r="E249" s="16" t="s">
        <v>923</v>
      </c>
      <c r="F249" s="66">
        <v>45859</v>
      </c>
      <c r="G249" s="58" t="s">
        <v>583</v>
      </c>
      <c r="H249" s="123" t="s">
        <v>1167</v>
      </c>
      <c r="I249" s="58">
        <v>4542296661</v>
      </c>
      <c r="J249" s="57"/>
      <c r="K249" s="200"/>
      <c r="L249" s="56" t="s">
        <v>1164</v>
      </c>
      <c r="M249" s="16" t="s">
        <v>73</v>
      </c>
      <c r="N249" s="828">
        <v>27675</v>
      </c>
      <c r="O249" s="16" t="s">
        <v>1187</v>
      </c>
      <c r="P249" s="16"/>
      <c r="Q249" s="16" t="s">
        <v>1190</v>
      </c>
      <c r="R249" s="16"/>
      <c r="S249" s="16">
        <v>0.5</v>
      </c>
      <c r="T249" s="16">
        <v>335.32</v>
      </c>
      <c r="U249" s="16"/>
      <c r="V249" s="240"/>
      <c r="W249" s="16"/>
      <c r="Y249" s="16" t="s">
        <v>1191</v>
      </c>
      <c r="Z249" s="6" t="s">
        <v>122</v>
      </c>
    </row>
    <row r="250" spans="1:28" s="56" customFormat="1" ht="13.5" customHeight="1">
      <c r="A250" s="204" t="s">
        <v>1147</v>
      </c>
      <c r="B250" s="583">
        <v>45849</v>
      </c>
      <c r="C250" s="513" t="s">
        <v>1165</v>
      </c>
      <c r="D250" s="60"/>
      <c r="E250" s="16" t="s">
        <v>923</v>
      </c>
      <c r="F250" s="66">
        <v>45859</v>
      </c>
      <c r="G250" s="58" t="s">
        <v>583</v>
      </c>
      <c r="H250" s="123" t="s">
        <v>1166</v>
      </c>
      <c r="I250" s="58">
        <v>4542314451</v>
      </c>
      <c r="J250" s="57"/>
      <c r="K250" s="200"/>
      <c r="L250" s="56" t="s">
        <v>1164</v>
      </c>
      <c r="M250" s="16" t="s">
        <v>73</v>
      </c>
      <c r="N250" s="828">
        <v>27676</v>
      </c>
      <c r="O250" s="16" t="s">
        <v>1188</v>
      </c>
      <c r="P250" s="16"/>
      <c r="Q250" s="16"/>
      <c r="R250" s="16"/>
      <c r="S250" s="16">
        <v>0.5</v>
      </c>
      <c r="T250" s="16">
        <v>335.32</v>
      </c>
      <c r="U250" s="16"/>
      <c r="W250" s="16"/>
      <c r="Y250" s="16" t="s">
        <v>1191</v>
      </c>
      <c r="Z250" s="6" t="s">
        <v>122</v>
      </c>
    </row>
    <row r="251" spans="1:28" s="56" customFormat="1" ht="13.5" customHeight="1">
      <c r="A251" s="244" t="s">
        <v>1147</v>
      </c>
      <c r="B251" s="88">
        <v>45849</v>
      </c>
      <c r="C251" s="62" t="s">
        <v>1168</v>
      </c>
      <c r="D251" s="239"/>
      <c r="E251" s="22" t="s">
        <v>923</v>
      </c>
      <c r="F251" s="88">
        <v>45859</v>
      </c>
      <c r="G251" s="96" t="s">
        <v>583</v>
      </c>
      <c r="H251" s="202" t="s">
        <v>1169</v>
      </c>
      <c r="I251" s="96">
        <v>4542314241</v>
      </c>
      <c r="J251" s="111"/>
      <c r="K251" s="223"/>
      <c r="L251" s="62" t="s">
        <v>1164</v>
      </c>
      <c r="M251" s="22" t="s">
        <v>73</v>
      </c>
      <c r="N251" s="96">
        <v>27677</v>
      </c>
      <c r="O251" s="22" t="s">
        <v>1189</v>
      </c>
      <c r="P251" s="22"/>
      <c r="Q251" s="22"/>
      <c r="R251" s="22"/>
      <c r="S251" s="22">
        <v>0.5</v>
      </c>
      <c r="T251" s="22">
        <v>350.7</v>
      </c>
      <c r="U251" s="22"/>
      <c r="V251" s="62"/>
      <c r="W251" s="22"/>
      <c r="X251" s="62"/>
      <c r="Y251" s="22" t="s">
        <v>1192</v>
      </c>
      <c r="Z251" s="10" t="s">
        <v>122</v>
      </c>
    </row>
    <row r="252" spans="1:28" s="56" customFormat="1" ht="82.8">
      <c r="A252" s="245" t="s">
        <v>1147</v>
      </c>
      <c r="B252" s="583">
        <v>45852</v>
      </c>
      <c r="C252" s="513" t="s">
        <v>1170</v>
      </c>
      <c r="D252" s="60"/>
      <c r="E252" s="16" t="s">
        <v>923</v>
      </c>
      <c r="F252" s="66">
        <v>45861</v>
      </c>
      <c r="G252" s="58" t="s">
        <v>848</v>
      </c>
      <c r="H252" s="123" t="s">
        <v>1171</v>
      </c>
      <c r="I252" s="58">
        <v>4541164217</v>
      </c>
      <c r="J252" s="358">
        <v>4546777778</v>
      </c>
      <c r="K252" s="200"/>
      <c r="M252" s="16" t="s">
        <v>73</v>
      </c>
      <c r="N252" s="829" t="s">
        <v>15</v>
      </c>
      <c r="O252" s="56" t="s">
        <v>1197</v>
      </c>
      <c r="Q252" s="16" t="s">
        <v>1190</v>
      </c>
      <c r="R252" s="16" t="s">
        <v>15</v>
      </c>
      <c r="S252" s="16">
        <v>0.5</v>
      </c>
      <c r="T252" s="16">
        <f>2*43.3+25.05</f>
        <v>111.64999999999999</v>
      </c>
      <c r="U252" s="112">
        <v>1</v>
      </c>
      <c r="V252" s="13" t="s">
        <v>1204</v>
      </c>
      <c r="W252" s="16" t="s">
        <v>1202</v>
      </c>
      <c r="X252" s="16" t="s">
        <v>1203</v>
      </c>
      <c r="Y252" s="16">
        <v>190</v>
      </c>
      <c r="Z252" s="679" t="s">
        <v>122</v>
      </c>
    </row>
    <row r="253" spans="1:28" s="56" customFormat="1" ht="34.200000000000003" customHeight="1">
      <c r="A253" s="379" t="s">
        <v>1147</v>
      </c>
      <c r="B253" s="98">
        <v>45852</v>
      </c>
      <c r="C253" s="60" t="s">
        <v>1173</v>
      </c>
      <c r="D253" s="60"/>
      <c r="E253" s="60" t="s">
        <v>1193</v>
      </c>
      <c r="F253" s="98" t="s">
        <v>1236</v>
      </c>
      <c r="G253" s="58"/>
      <c r="H253" s="380" t="s">
        <v>1172</v>
      </c>
      <c r="I253" s="58"/>
      <c r="J253" s="57"/>
      <c r="K253" s="200"/>
      <c r="L253" s="238"/>
      <c r="M253" s="271" t="s">
        <v>1301</v>
      </c>
      <c r="N253" s="829">
        <v>28486</v>
      </c>
      <c r="O253" s="16"/>
      <c r="P253" s="16"/>
      <c r="Q253" s="16"/>
      <c r="R253" s="16"/>
      <c r="S253" s="16"/>
      <c r="T253" s="16"/>
      <c r="U253" s="16"/>
      <c r="V253" s="56" t="s">
        <v>1300</v>
      </c>
      <c r="W253" s="16">
        <v>1</v>
      </c>
      <c r="X253" s="16">
        <v>565.35</v>
      </c>
      <c r="Y253" s="16" t="s">
        <v>1239</v>
      </c>
      <c r="Z253" s="679" t="s">
        <v>122</v>
      </c>
      <c r="AA253" s="381" t="s">
        <v>1302</v>
      </c>
      <c r="AB253" s="56" t="s">
        <v>1303</v>
      </c>
    </row>
    <row r="254" spans="1:28" s="56" customFormat="1" ht="41.4">
      <c r="A254" s="246" t="s">
        <v>1178</v>
      </c>
      <c r="B254" s="88">
        <v>45852</v>
      </c>
      <c r="C254" s="62" t="s">
        <v>1175</v>
      </c>
      <c r="D254" s="239"/>
      <c r="E254" s="22" t="s">
        <v>923</v>
      </c>
      <c r="F254" s="88">
        <v>45861</v>
      </c>
      <c r="G254" s="96"/>
      <c r="H254" s="202" t="s">
        <v>1176</v>
      </c>
      <c r="I254" s="96"/>
      <c r="J254" s="96">
        <v>4548305524</v>
      </c>
      <c r="K254" s="223"/>
      <c r="L254" s="247" t="s">
        <v>1183</v>
      </c>
      <c r="M254" s="22" t="s">
        <v>73</v>
      </c>
      <c r="N254" s="22" t="s">
        <v>15</v>
      </c>
      <c r="O254" s="62" t="s">
        <v>1200</v>
      </c>
      <c r="P254" s="62"/>
      <c r="Q254" s="22" t="s">
        <v>1190</v>
      </c>
      <c r="R254" s="22" t="s">
        <v>15</v>
      </c>
      <c r="S254" s="22">
        <v>0.5</v>
      </c>
      <c r="T254" s="22" t="s">
        <v>1198</v>
      </c>
      <c r="U254" s="121">
        <v>1</v>
      </c>
      <c r="V254" s="62"/>
      <c r="W254" s="22">
        <v>1</v>
      </c>
      <c r="X254" s="22">
        <v>2.25</v>
      </c>
      <c r="Y254" s="22">
        <v>80.55</v>
      </c>
      <c r="Z254" s="197" t="s">
        <v>1177</v>
      </c>
    </row>
    <row r="255" spans="1:28" s="56" customFormat="1" ht="27.6">
      <c r="A255" s="248" t="s">
        <v>98</v>
      </c>
      <c r="B255" s="583">
        <v>45859</v>
      </c>
      <c r="C255" s="513" t="s">
        <v>1184</v>
      </c>
      <c r="D255" s="60"/>
      <c r="E255" s="16" t="s">
        <v>923</v>
      </c>
      <c r="F255" s="66">
        <v>45861</v>
      </c>
      <c r="G255" s="16" t="s">
        <v>848</v>
      </c>
      <c r="H255" s="168" t="s">
        <v>1186</v>
      </c>
      <c r="I255" s="58">
        <v>4544789892</v>
      </c>
      <c r="J255" s="57"/>
      <c r="K255" s="200"/>
      <c r="L255" s="249" t="s">
        <v>1185</v>
      </c>
      <c r="M255" s="16" t="s">
        <v>73</v>
      </c>
      <c r="N255" s="829" t="s">
        <v>15</v>
      </c>
      <c r="O255" s="56" t="s">
        <v>1199</v>
      </c>
      <c r="Q255" s="16" t="s">
        <v>1190</v>
      </c>
      <c r="R255" s="16" t="s">
        <v>15</v>
      </c>
      <c r="S255" s="16">
        <v>0.5</v>
      </c>
      <c r="T255" s="16">
        <f>41.81*2</f>
        <v>83.62</v>
      </c>
      <c r="U255" s="112">
        <v>1</v>
      </c>
      <c r="V255" s="13" t="s">
        <v>1205</v>
      </c>
      <c r="W255" s="16">
        <v>2</v>
      </c>
      <c r="X255" s="16">
        <v>41.81</v>
      </c>
      <c r="Y255" s="16">
        <v>162</v>
      </c>
      <c r="Z255" s="178" t="s">
        <v>279</v>
      </c>
    </row>
    <row r="256" spans="1:28" s="56" customFormat="1" ht="151.80000000000001">
      <c r="A256" s="20" t="s">
        <v>933</v>
      </c>
      <c r="B256" s="88">
        <v>45859</v>
      </c>
      <c r="C256" s="62" t="s">
        <v>1194</v>
      </c>
      <c r="D256" s="239"/>
      <c r="E256" s="22" t="s">
        <v>45</v>
      </c>
      <c r="F256" s="88">
        <v>45866</v>
      </c>
      <c r="G256" s="96"/>
      <c r="H256" s="202" t="s">
        <v>1195</v>
      </c>
      <c r="I256" s="96">
        <v>4546671322</v>
      </c>
      <c r="J256" s="111"/>
      <c r="K256" s="223"/>
      <c r="L256" s="247" t="s">
        <v>1196</v>
      </c>
      <c r="M256" s="22" t="s">
        <v>73</v>
      </c>
      <c r="N256" s="22" t="s">
        <v>15</v>
      </c>
      <c r="O256" s="62" t="s">
        <v>1206</v>
      </c>
      <c r="P256" s="62"/>
      <c r="Q256" s="22" t="s">
        <v>1190</v>
      </c>
      <c r="R256" s="22" t="s">
        <v>15</v>
      </c>
      <c r="S256" s="22">
        <v>1</v>
      </c>
      <c r="T256" s="22">
        <v>70.44</v>
      </c>
      <c r="U256" s="121">
        <v>1</v>
      </c>
      <c r="V256" s="62"/>
      <c r="W256" s="22"/>
      <c r="X256" s="62"/>
      <c r="Y256" s="22" t="s">
        <v>1209</v>
      </c>
      <c r="Z256" s="438" t="s">
        <v>427</v>
      </c>
    </row>
    <row r="257" spans="1:26" s="56" customFormat="1" ht="24" customHeight="1">
      <c r="A257" s="248" t="s">
        <v>1210</v>
      </c>
      <c r="B257" s="583">
        <v>45870</v>
      </c>
      <c r="C257" s="513" t="s">
        <v>1211</v>
      </c>
      <c r="D257" s="58" t="s">
        <v>142</v>
      </c>
      <c r="E257" s="16" t="s">
        <v>923</v>
      </c>
      <c r="F257" s="66">
        <v>45870</v>
      </c>
      <c r="G257" s="58" t="s">
        <v>583</v>
      </c>
      <c r="H257" s="123" t="s">
        <v>1212</v>
      </c>
      <c r="I257" s="58"/>
      <c r="J257" s="364">
        <v>4546863850</v>
      </c>
      <c r="K257" s="200"/>
      <c r="L257" s="168" t="s">
        <v>1213</v>
      </c>
      <c r="M257" s="16" t="s">
        <v>73</v>
      </c>
      <c r="N257" s="829"/>
      <c r="O257" s="253" t="s">
        <v>1214</v>
      </c>
      <c r="P257" s="253"/>
      <c r="Q257" s="16"/>
      <c r="R257" s="16"/>
      <c r="S257" s="16"/>
      <c r="T257" s="16"/>
      <c r="U257" s="16"/>
      <c r="V257" s="13" t="s">
        <v>1214</v>
      </c>
      <c r="W257" s="16">
        <v>9</v>
      </c>
      <c r="X257" s="16">
        <v>82.24</v>
      </c>
      <c r="Y257" s="16" t="s">
        <v>1215</v>
      </c>
      <c r="Z257" s="178" t="s">
        <v>975</v>
      </c>
    </row>
    <row r="258" spans="1:26" s="56" customFormat="1" ht="13.5" customHeight="1">
      <c r="A258" s="56" t="s">
        <v>1217</v>
      </c>
      <c r="B258" s="583">
        <v>45870</v>
      </c>
      <c r="C258" s="60" t="s">
        <v>1218</v>
      </c>
      <c r="D258" s="60"/>
      <c r="E258" s="16" t="s">
        <v>45</v>
      </c>
      <c r="F258" s="66">
        <v>45873</v>
      </c>
      <c r="G258" s="58" t="s">
        <v>583</v>
      </c>
      <c r="H258" s="123" t="s">
        <v>1219</v>
      </c>
      <c r="I258" s="58"/>
      <c r="J258" s="57"/>
      <c r="K258" s="200"/>
      <c r="L258" s="102" t="s">
        <v>1220</v>
      </c>
      <c r="M258" s="16" t="s">
        <v>73</v>
      </c>
      <c r="N258" s="829"/>
      <c r="O258" s="16"/>
      <c r="P258" s="16"/>
      <c r="Q258" s="16"/>
      <c r="R258" s="16"/>
      <c r="S258" s="16"/>
      <c r="T258" s="16"/>
      <c r="U258" s="16"/>
      <c r="V258" s="13" t="s">
        <v>1221</v>
      </c>
      <c r="W258" s="16">
        <v>11</v>
      </c>
      <c r="X258" s="16">
        <v>7.59</v>
      </c>
      <c r="Y258" s="16">
        <v>162</v>
      </c>
      <c r="Z258" s="178" t="s">
        <v>1216</v>
      </c>
    </row>
    <row r="259" spans="1:26" s="56" customFormat="1" ht="41.4">
      <c r="A259" s="245" t="s">
        <v>1222</v>
      </c>
      <c r="B259" s="583">
        <v>45873</v>
      </c>
      <c r="C259" s="60" t="s">
        <v>1223</v>
      </c>
      <c r="D259" s="60"/>
      <c r="E259" s="16" t="s">
        <v>45</v>
      </c>
      <c r="F259" s="66">
        <v>45874</v>
      </c>
      <c r="G259" s="58" t="s">
        <v>583</v>
      </c>
      <c r="H259" s="56" t="s">
        <v>1223</v>
      </c>
      <c r="I259" s="58"/>
      <c r="J259" s="57"/>
      <c r="K259" s="200"/>
      <c r="L259" s="168" t="s">
        <v>1238</v>
      </c>
      <c r="M259" s="16" t="s">
        <v>73</v>
      </c>
      <c r="N259" s="829" t="s">
        <v>15</v>
      </c>
      <c r="O259" s="56" t="s">
        <v>1224</v>
      </c>
      <c r="Q259" s="16" t="s">
        <v>1190</v>
      </c>
      <c r="R259" s="16" t="s">
        <v>15</v>
      </c>
      <c r="S259" s="16">
        <v>0.5</v>
      </c>
      <c r="T259" s="16">
        <v>499.38</v>
      </c>
      <c r="U259" s="112">
        <v>1</v>
      </c>
      <c r="W259" s="16"/>
      <c r="X259" s="16"/>
      <c r="Y259" s="16" t="s">
        <v>1226</v>
      </c>
      <c r="Z259" s="178" t="s">
        <v>1225</v>
      </c>
    </row>
    <row r="260" spans="1:26" s="56" customFormat="1" ht="96.6">
      <c r="A260" s="245" t="s">
        <v>933</v>
      </c>
      <c r="B260" s="583">
        <v>45875</v>
      </c>
      <c r="C260" s="60" t="s">
        <v>1227</v>
      </c>
      <c r="D260" s="60"/>
      <c r="E260" s="16" t="s">
        <v>45</v>
      </c>
      <c r="F260" s="66">
        <v>45881</v>
      </c>
      <c r="G260" s="58" t="s">
        <v>848</v>
      </c>
      <c r="H260" s="123" t="s">
        <v>1228</v>
      </c>
      <c r="I260" s="58"/>
      <c r="J260" s="57"/>
      <c r="K260" s="200"/>
      <c r="L260" s="123" t="s">
        <v>1229</v>
      </c>
      <c r="M260" s="16" t="s">
        <v>73</v>
      </c>
      <c r="N260" s="829" t="s">
        <v>15</v>
      </c>
      <c r="O260" s="56" t="s">
        <v>1240</v>
      </c>
      <c r="Q260" s="16" t="s">
        <v>1190</v>
      </c>
      <c r="R260" s="16" t="s">
        <v>15</v>
      </c>
      <c r="S260" s="16">
        <v>0.5</v>
      </c>
      <c r="T260" s="16">
        <f>4.4*2+7.51+11.39*2+0.47</f>
        <v>39.56</v>
      </c>
      <c r="U260" s="112">
        <v>1</v>
      </c>
      <c r="W260" s="16"/>
      <c r="Y260" s="16"/>
      <c r="Z260" s="178" t="s">
        <v>427</v>
      </c>
    </row>
    <row r="261" spans="1:26" s="56" customFormat="1" ht="55.2">
      <c r="A261" s="248" t="s">
        <v>98</v>
      </c>
      <c r="B261" s="583">
        <v>45877</v>
      </c>
      <c r="C261" s="513" t="s">
        <v>1230</v>
      </c>
      <c r="D261" s="60"/>
      <c r="E261" s="16" t="s">
        <v>45</v>
      </c>
      <c r="F261" s="66">
        <v>45891</v>
      </c>
      <c r="G261" s="199"/>
      <c r="I261" s="58"/>
      <c r="J261" s="362" t="s">
        <v>1298</v>
      </c>
      <c r="K261" s="248"/>
      <c r="L261" s="123" t="s">
        <v>1234</v>
      </c>
      <c r="M261" s="16" t="s">
        <v>73</v>
      </c>
      <c r="N261" s="829" t="s">
        <v>15</v>
      </c>
      <c r="O261" s="56" t="s">
        <v>1256</v>
      </c>
      <c r="Q261" s="16" t="s">
        <v>1190</v>
      </c>
      <c r="R261" s="66" t="s">
        <v>15</v>
      </c>
      <c r="S261" s="16">
        <v>0.5</v>
      </c>
      <c r="T261" s="16" t="s">
        <v>15</v>
      </c>
      <c r="U261" s="112">
        <v>1</v>
      </c>
      <c r="V261" s="204"/>
      <c r="W261" s="66"/>
      <c r="X261" s="58">
        <v>120.1</v>
      </c>
      <c r="Y261" s="16">
        <v>199</v>
      </c>
      <c r="Z261" s="679" t="s">
        <v>279</v>
      </c>
    </row>
    <row r="262" spans="1:26" s="56" customFormat="1" ht="55.2">
      <c r="A262" s="248" t="s">
        <v>98</v>
      </c>
      <c r="B262" s="583">
        <v>45877</v>
      </c>
      <c r="C262" s="513" t="s">
        <v>1231</v>
      </c>
      <c r="D262" s="60"/>
      <c r="E262" s="16" t="s">
        <v>45</v>
      </c>
      <c r="F262" s="66">
        <v>45891</v>
      </c>
      <c r="G262" s="199"/>
      <c r="I262" s="58"/>
      <c r="J262" s="362">
        <v>4547226774</v>
      </c>
      <c r="K262" s="248"/>
      <c r="L262" s="123" t="s">
        <v>1235</v>
      </c>
      <c r="M262" s="16" t="s">
        <v>73</v>
      </c>
      <c r="N262" s="829" t="s">
        <v>15</v>
      </c>
      <c r="O262" s="56" t="s">
        <v>1257</v>
      </c>
      <c r="Q262" s="16" t="s">
        <v>1190</v>
      </c>
      <c r="R262" s="66" t="s">
        <v>15</v>
      </c>
      <c r="S262" s="16">
        <v>0.5</v>
      </c>
      <c r="T262" s="16" t="s">
        <v>15</v>
      </c>
      <c r="U262" s="112">
        <v>1</v>
      </c>
      <c r="V262" s="204"/>
      <c r="W262" s="66"/>
      <c r="X262" s="58">
        <v>97.65</v>
      </c>
      <c r="Y262" s="16">
        <v>176</v>
      </c>
      <c r="Z262" s="679" t="s">
        <v>279</v>
      </c>
    </row>
    <row r="263" spans="1:26" s="56" customFormat="1" ht="160.94999999999999" customHeight="1">
      <c r="A263" s="246" t="s">
        <v>98</v>
      </c>
      <c r="B263" s="88">
        <v>45877</v>
      </c>
      <c r="C263" s="62" t="s">
        <v>1232</v>
      </c>
      <c r="D263" s="239"/>
      <c r="E263" s="22" t="s">
        <v>45</v>
      </c>
      <c r="F263" s="88">
        <v>45891</v>
      </c>
      <c r="G263" s="201"/>
      <c r="H263" s="62"/>
      <c r="I263" s="96"/>
      <c r="J263" s="363" t="s">
        <v>1297</v>
      </c>
      <c r="K263" s="246"/>
      <c r="L263" s="202" t="s">
        <v>1233</v>
      </c>
      <c r="M263" s="22" t="s">
        <v>73</v>
      </c>
      <c r="N263" s="22" t="s">
        <v>15</v>
      </c>
      <c r="O263" s="62" t="s">
        <v>1299</v>
      </c>
      <c r="P263" s="62"/>
      <c r="Q263" s="22" t="s">
        <v>1190</v>
      </c>
      <c r="R263" s="88" t="s">
        <v>15</v>
      </c>
      <c r="S263" s="22">
        <v>0.5</v>
      </c>
      <c r="T263" s="96" t="s">
        <v>15</v>
      </c>
      <c r="U263" s="121">
        <v>1</v>
      </c>
      <c r="V263" s="244"/>
      <c r="W263" s="88"/>
      <c r="X263" s="96">
        <v>97.65</v>
      </c>
      <c r="Y263" s="22">
        <v>176</v>
      </c>
      <c r="Z263" s="62" t="s">
        <v>279</v>
      </c>
    </row>
    <row r="264" spans="1:26" s="56" customFormat="1" ht="12.75" customHeight="1">
      <c r="A264" s="138" t="s">
        <v>1147</v>
      </c>
      <c r="B264" s="583">
        <v>45883</v>
      </c>
      <c r="C264" s="513" t="s">
        <v>1243</v>
      </c>
      <c r="D264" s="58" t="s">
        <v>142</v>
      </c>
      <c r="E264" s="16" t="s">
        <v>45</v>
      </c>
      <c r="F264" s="66">
        <v>45883</v>
      </c>
      <c r="G264" s="199"/>
      <c r="H264" s="56" t="s">
        <v>1244</v>
      </c>
      <c r="I264" s="58">
        <v>4546526507</v>
      </c>
      <c r="J264" s="57">
        <v>4547018551</v>
      </c>
      <c r="K264" s="248"/>
      <c r="L264" s="168" t="s">
        <v>1242</v>
      </c>
      <c r="M264" s="16" t="s">
        <v>73</v>
      </c>
      <c r="N264" s="829" t="s">
        <v>15</v>
      </c>
      <c r="O264" s="56" t="s">
        <v>1242</v>
      </c>
      <c r="Q264" s="255" t="s">
        <v>1190</v>
      </c>
      <c r="R264" s="199"/>
      <c r="S264" s="16">
        <v>0.5</v>
      </c>
      <c r="T264" s="16">
        <v>434.27</v>
      </c>
      <c r="V264" s="13" t="s">
        <v>1246</v>
      </c>
      <c r="W264" s="66" t="s">
        <v>1247</v>
      </c>
      <c r="X264" s="16">
        <v>434.27</v>
      </c>
      <c r="Y264" s="16" t="s">
        <v>1248</v>
      </c>
      <c r="Z264" s="6" t="s">
        <v>122</v>
      </c>
    </row>
    <row r="265" spans="1:26" s="659" customFormat="1" ht="41.4">
      <c r="A265" s="662" t="s">
        <v>865</v>
      </c>
      <c r="B265" s="657">
        <v>45883</v>
      </c>
      <c r="C265" s="659">
        <v>814108966</v>
      </c>
      <c r="D265" s="660" t="s">
        <v>1941</v>
      </c>
      <c r="E265" s="660" t="s">
        <v>45</v>
      </c>
      <c r="F265" s="657" t="s">
        <v>1936</v>
      </c>
      <c r="G265" s="661"/>
      <c r="H265" s="669" t="s">
        <v>1245</v>
      </c>
      <c r="I265" s="699"/>
      <c r="J265" s="844"/>
      <c r="K265" s="662"/>
      <c r="L265" s="670" t="s">
        <v>1939</v>
      </c>
      <c r="M265" s="660" t="s">
        <v>73</v>
      </c>
      <c r="N265" s="660" t="s">
        <v>15</v>
      </c>
      <c r="O265" s="659" t="s">
        <v>1940</v>
      </c>
      <c r="Q265" s="660" t="s">
        <v>1937</v>
      </c>
      <c r="R265" s="657" t="s">
        <v>15</v>
      </c>
      <c r="S265" s="660">
        <v>0.5</v>
      </c>
      <c r="T265" s="660" t="s">
        <v>15</v>
      </c>
      <c r="U265" s="665">
        <v>1</v>
      </c>
      <c r="V265" s="671" t="s">
        <v>1935</v>
      </c>
      <c r="W265" s="657" t="s">
        <v>1938</v>
      </c>
      <c r="X265" s="660">
        <f>89.3+34*3</f>
        <v>191.3</v>
      </c>
      <c r="Y265" s="660">
        <v>382</v>
      </c>
      <c r="Z265" s="659" t="s">
        <v>868</v>
      </c>
    </row>
    <row r="266" spans="1:26" s="56" customFormat="1" ht="12.75" customHeight="1">
      <c r="A266" s="257" t="s">
        <v>1147</v>
      </c>
      <c r="B266" s="88">
        <v>45883</v>
      </c>
      <c r="C266" s="239" t="s">
        <v>1249</v>
      </c>
      <c r="D266" s="96" t="s">
        <v>142</v>
      </c>
      <c r="E266" s="22" t="s">
        <v>45</v>
      </c>
      <c r="F266" s="88">
        <v>45887</v>
      </c>
      <c r="G266" s="201"/>
      <c r="H266" s="62" t="s">
        <v>1251</v>
      </c>
      <c r="I266" s="96">
        <v>4546969028</v>
      </c>
      <c r="J266" s="111"/>
      <c r="K266" s="246"/>
      <c r="L266" s="258" t="s">
        <v>1250</v>
      </c>
      <c r="M266" s="22" t="s">
        <v>73</v>
      </c>
      <c r="N266" s="22"/>
      <c r="O266" s="62"/>
      <c r="P266" s="62"/>
      <c r="Q266" s="244"/>
      <c r="R266" s="201"/>
      <c r="S266" s="62"/>
      <c r="T266" s="62"/>
      <c r="U266" s="62"/>
      <c r="V266" s="259" t="s">
        <v>1253</v>
      </c>
      <c r="W266" s="88" t="s">
        <v>1252</v>
      </c>
      <c r="X266" s="22">
        <v>5.7</v>
      </c>
      <c r="Y266" s="22">
        <v>90</v>
      </c>
      <c r="Z266" s="10" t="s">
        <v>122</v>
      </c>
    </row>
    <row r="267" spans="1:26" s="18" customFormat="1" ht="27.6">
      <c r="A267" s="248" t="s">
        <v>842</v>
      </c>
      <c r="B267" s="672">
        <v>45888</v>
      </c>
      <c r="C267" s="18" t="s">
        <v>1254</v>
      </c>
      <c r="D267" s="130" t="s">
        <v>1091</v>
      </c>
      <c r="E267" s="18" t="s">
        <v>45</v>
      </c>
      <c r="F267" s="672">
        <v>45891</v>
      </c>
      <c r="G267" s="672"/>
      <c r="H267" s="168" t="s">
        <v>1255</v>
      </c>
      <c r="I267" s="58">
        <v>4545739366</v>
      </c>
      <c r="J267" s="839">
        <v>4547141534</v>
      </c>
      <c r="K267" s="248"/>
      <c r="L267" s="93" t="s">
        <v>1270</v>
      </c>
      <c r="M267" s="18" t="s">
        <v>73</v>
      </c>
      <c r="N267" s="829" t="s">
        <v>15</v>
      </c>
      <c r="O267" s="18" t="s">
        <v>1271</v>
      </c>
      <c r="Q267" s="672" t="s">
        <v>1190</v>
      </c>
      <c r="R267" s="672" t="s">
        <v>15</v>
      </c>
      <c r="S267" s="18">
        <v>0.5</v>
      </c>
      <c r="T267" s="18">
        <f>8.65+62.17</f>
        <v>70.820000000000007</v>
      </c>
      <c r="U267" s="673">
        <v>1</v>
      </c>
      <c r="V267" s="248"/>
      <c r="W267" s="672"/>
      <c r="Y267" s="18">
        <v>150</v>
      </c>
      <c r="Z267" s="679" t="s">
        <v>1075</v>
      </c>
    </row>
    <row r="268" spans="1:26" s="56" customFormat="1" ht="12.75" customHeight="1">
      <c r="A268" s="204" t="s">
        <v>1258</v>
      </c>
      <c r="B268" s="583">
        <v>45888</v>
      </c>
      <c r="C268" s="513" t="s">
        <v>1000</v>
      </c>
      <c r="D268" s="16" t="s">
        <v>142</v>
      </c>
      <c r="E268" s="16" t="s">
        <v>45</v>
      </c>
      <c r="F268" s="66">
        <v>45891</v>
      </c>
      <c r="G268" s="199"/>
      <c r="H268" s="56" t="s">
        <v>1259</v>
      </c>
      <c r="I268" s="58"/>
      <c r="J268" s="57">
        <v>4547109136</v>
      </c>
      <c r="K268" s="248"/>
      <c r="L268" s="102" t="s">
        <v>1263</v>
      </c>
      <c r="M268" s="16" t="s">
        <v>73</v>
      </c>
      <c r="N268" s="829" t="s">
        <v>15</v>
      </c>
      <c r="O268" s="56" t="s">
        <v>1272</v>
      </c>
      <c r="Q268" s="16" t="s">
        <v>1190</v>
      </c>
      <c r="R268" s="66" t="s">
        <v>15</v>
      </c>
      <c r="S268" s="16">
        <v>0.5</v>
      </c>
      <c r="T268" s="16">
        <f>18*35</f>
        <v>630</v>
      </c>
      <c r="U268" s="112">
        <v>1</v>
      </c>
      <c r="V268" s="44" t="s">
        <v>1276</v>
      </c>
      <c r="W268" s="66" t="s">
        <v>1277</v>
      </c>
      <c r="X268" s="16">
        <v>35</v>
      </c>
      <c r="Y268" s="58">
        <v>708.3</v>
      </c>
      <c r="Z268" s="679" t="s">
        <v>1267</v>
      </c>
    </row>
    <row r="269" spans="1:26" s="56" customFormat="1" ht="41.4">
      <c r="A269" s="139" t="s">
        <v>1147</v>
      </c>
      <c r="B269" s="583">
        <v>45889</v>
      </c>
      <c r="C269" s="60" t="s">
        <v>1260</v>
      </c>
      <c r="D269" s="16"/>
      <c r="E269" s="16" t="s">
        <v>45</v>
      </c>
      <c r="F269" s="66">
        <v>45913</v>
      </c>
      <c r="G269" s="199"/>
      <c r="H269" s="56" t="s">
        <v>1261</v>
      </c>
      <c r="I269" s="58">
        <v>4545003037</v>
      </c>
      <c r="J269" s="57"/>
      <c r="K269" s="248"/>
      <c r="L269" s="238" t="s">
        <v>1262</v>
      </c>
      <c r="M269" s="16" t="s">
        <v>73</v>
      </c>
      <c r="N269" s="829" t="s">
        <v>15</v>
      </c>
      <c r="O269" s="56" t="s">
        <v>1304</v>
      </c>
      <c r="Q269" s="16" t="s">
        <v>1190</v>
      </c>
      <c r="R269" s="66" t="s">
        <v>15</v>
      </c>
      <c r="S269" s="16">
        <v>0.5</v>
      </c>
      <c r="T269" s="16">
        <f>2*30*1.03+2*12*0.67+2*23.54</f>
        <v>124.96000000000001</v>
      </c>
      <c r="U269" s="112">
        <v>1</v>
      </c>
      <c r="V269" s="204"/>
      <c r="W269" s="66"/>
      <c r="Y269" s="16"/>
      <c r="Z269" s="679" t="s">
        <v>122</v>
      </c>
    </row>
    <row r="270" spans="1:26" s="56" customFormat="1" ht="55.2">
      <c r="A270" s="248" t="s">
        <v>842</v>
      </c>
      <c r="B270" s="583">
        <v>45890</v>
      </c>
      <c r="C270" s="513" t="s">
        <v>1265</v>
      </c>
      <c r="D270" s="58" t="s">
        <v>1091</v>
      </c>
      <c r="E270" s="16" t="s">
        <v>45</v>
      </c>
      <c r="F270" s="66">
        <v>45891</v>
      </c>
      <c r="G270" s="199"/>
      <c r="H270" s="56" t="s">
        <v>1266</v>
      </c>
      <c r="I270" s="58">
        <v>4545140786</v>
      </c>
      <c r="J270" s="57">
        <v>4547598824</v>
      </c>
      <c r="K270" s="248"/>
      <c r="L270" s="238"/>
      <c r="M270" s="16" t="s">
        <v>73</v>
      </c>
      <c r="N270" s="829" t="s">
        <v>15</v>
      </c>
      <c r="O270" s="56" t="s">
        <v>1273</v>
      </c>
      <c r="Q270" s="16" t="s">
        <v>1190</v>
      </c>
      <c r="R270" s="66" t="s">
        <v>1274</v>
      </c>
      <c r="S270" s="16">
        <v>0.5</v>
      </c>
      <c r="T270" s="16">
        <f>4.05+65.78+14.44+2*1.83</f>
        <v>87.929999999999993</v>
      </c>
      <c r="U270" s="112">
        <v>1</v>
      </c>
      <c r="V270" s="204"/>
      <c r="W270" s="66"/>
      <c r="Y270" s="16" t="s">
        <v>1275</v>
      </c>
      <c r="Z270" s="679" t="s">
        <v>1075</v>
      </c>
    </row>
    <row r="271" spans="1:26" s="56" customFormat="1" ht="13.5" customHeight="1">
      <c r="A271" s="138" t="s">
        <v>184</v>
      </c>
      <c r="B271" s="583">
        <v>45890</v>
      </c>
      <c r="C271" s="513" t="s">
        <v>1264</v>
      </c>
      <c r="D271" s="58" t="s">
        <v>142</v>
      </c>
      <c r="E271" s="16" t="s">
        <v>45</v>
      </c>
      <c r="F271" s="66">
        <v>45890</v>
      </c>
      <c r="G271" s="199"/>
      <c r="H271" s="56" t="s">
        <v>1268</v>
      </c>
      <c r="I271" s="58"/>
      <c r="J271" s="57">
        <v>4547071752</v>
      </c>
      <c r="K271" s="248"/>
      <c r="L271" s="102" t="s">
        <v>1269</v>
      </c>
      <c r="M271" s="16" t="s">
        <v>73</v>
      </c>
      <c r="N271" s="829" t="s">
        <v>15</v>
      </c>
      <c r="O271" s="56" t="s">
        <v>15</v>
      </c>
      <c r="Q271" s="260" t="s">
        <v>15</v>
      </c>
      <c r="R271" s="66" t="s">
        <v>15</v>
      </c>
      <c r="S271" s="16" t="s">
        <v>15</v>
      </c>
      <c r="T271" s="16" t="s">
        <v>15</v>
      </c>
      <c r="U271" s="16" t="s">
        <v>15</v>
      </c>
      <c r="V271" s="13" t="s">
        <v>1041</v>
      </c>
      <c r="W271" s="16" t="s">
        <v>1043</v>
      </c>
      <c r="X271" s="16" t="s">
        <v>1044</v>
      </c>
      <c r="Y271" s="16" t="s">
        <v>1045</v>
      </c>
      <c r="Z271" s="6" t="s">
        <v>122</v>
      </c>
    </row>
    <row r="272" spans="1:26" s="56" customFormat="1" ht="12.75" customHeight="1">
      <c r="A272" s="138" t="s">
        <v>184</v>
      </c>
      <c r="B272" s="583">
        <v>45894</v>
      </c>
      <c r="C272" s="513" t="s">
        <v>1279</v>
      </c>
      <c r="E272" s="16" t="s">
        <v>45</v>
      </c>
      <c r="F272" s="66">
        <v>45894</v>
      </c>
      <c r="G272" s="199"/>
      <c r="H272" s="56" t="s">
        <v>1280</v>
      </c>
      <c r="I272" s="58"/>
      <c r="J272" s="57">
        <v>4547598825</v>
      </c>
      <c r="K272" s="248"/>
      <c r="L272" s="102" t="s">
        <v>1281</v>
      </c>
      <c r="M272" s="16" t="s">
        <v>73</v>
      </c>
      <c r="N272" s="829" t="s">
        <v>15</v>
      </c>
      <c r="O272" s="56" t="s">
        <v>1282</v>
      </c>
      <c r="Q272" s="16" t="s">
        <v>1190</v>
      </c>
      <c r="R272" s="66" t="s">
        <v>15</v>
      </c>
      <c r="S272" s="16">
        <v>0.5</v>
      </c>
      <c r="T272" s="16">
        <f>61.57*2</f>
        <v>123.14</v>
      </c>
      <c r="U272" s="112">
        <v>1</v>
      </c>
      <c r="V272" s="204" t="s">
        <v>1283</v>
      </c>
      <c r="W272" s="16">
        <v>2</v>
      </c>
      <c r="X272" s="16">
        <v>61.57</v>
      </c>
      <c r="Y272" s="16">
        <v>202</v>
      </c>
      <c r="Z272" s="6" t="s">
        <v>122</v>
      </c>
    </row>
    <row r="273" spans="1:26" s="56" customFormat="1" ht="30.75" customHeight="1">
      <c r="A273" s="139" t="s">
        <v>1284</v>
      </c>
      <c r="B273" s="583">
        <v>45897</v>
      </c>
      <c r="C273" s="60" t="s">
        <v>1285</v>
      </c>
      <c r="D273" s="60"/>
      <c r="E273" s="16" t="s">
        <v>45</v>
      </c>
      <c r="F273" s="66">
        <v>45897</v>
      </c>
      <c r="G273" s="58" t="s">
        <v>583</v>
      </c>
      <c r="H273" s="56" t="s">
        <v>1287</v>
      </c>
      <c r="I273" s="58"/>
      <c r="J273" s="57">
        <v>4547226824</v>
      </c>
      <c r="K273" s="248"/>
      <c r="L273" s="56" t="s">
        <v>1286</v>
      </c>
      <c r="M273" s="16" t="s">
        <v>73</v>
      </c>
      <c r="N273" s="829" t="s">
        <v>15</v>
      </c>
      <c r="O273" s="312" t="s">
        <v>1288</v>
      </c>
      <c r="P273" s="312"/>
      <c r="Q273" s="16" t="s">
        <v>1190</v>
      </c>
      <c r="R273" s="66" t="s">
        <v>15</v>
      </c>
      <c r="S273" s="16">
        <v>0.5</v>
      </c>
      <c r="T273" s="16">
        <f>13.75+8*12.75</f>
        <v>115.75</v>
      </c>
      <c r="U273" s="112">
        <v>1</v>
      </c>
      <c r="V273" s="204"/>
      <c r="W273" s="66"/>
      <c r="Y273" s="16">
        <v>194.05</v>
      </c>
      <c r="Z273" s="679" t="s">
        <v>975</v>
      </c>
    </row>
    <row r="274" spans="1:26" s="56" customFormat="1" ht="55.2">
      <c r="A274" s="272" t="s">
        <v>184</v>
      </c>
      <c r="B274" s="88">
        <v>45898</v>
      </c>
      <c r="C274" s="62" t="s">
        <v>1290</v>
      </c>
      <c r="D274" s="22" t="s">
        <v>1278</v>
      </c>
      <c r="E274" s="62"/>
      <c r="F274" s="244"/>
      <c r="G274" s="201"/>
      <c r="H274" s="62" t="s">
        <v>1289</v>
      </c>
      <c r="I274" s="96"/>
      <c r="J274" s="111"/>
      <c r="K274" s="246"/>
      <c r="L274" s="269"/>
      <c r="M274" s="22" t="s">
        <v>73</v>
      </c>
      <c r="N274" s="22" t="s">
        <v>15</v>
      </c>
      <c r="O274" s="62" t="s">
        <v>1293</v>
      </c>
      <c r="P274" s="62"/>
      <c r="Q274" s="270" t="s">
        <v>1190</v>
      </c>
      <c r="R274" s="88" t="s">
        <v>15</v>
      </c>
      <c r="S274" s="22">
        <v>0.5</v>
      </c>
      <c r="T274" s="22" t="s">
        <v>1198</v>
      </c>
      <c r="U274" s="121">
        <v>0.5</v>
      </c>
      <c r="V274" s="244"/>
      <c r="W274" s="88"/>
      <c r="X274" s="62"/>
      <c r="Y274" s="22"/>
      <c r="Z274" s="62"/>
    </row>
    <row r="275" spans="1:26" s="56" customFormat="1" ht="41.4">
      <c r="A275" s="139" t="s">
        <v>933</v>
      </c>
      <c r="B275" s="583">
        <v>45901</v>
      </c>
      <c r="C275" s="513" t="s">
        <v>1291</v>
      </c>
      <c r="D275" s="60"/>
      <c r="E275" s="16" t="s">
        <v>923</v>
      </c>
      <c r="F275" s="66">
        <v>45909</v>
      </c>
      <c r="G275" s="199"/>
      <c r="H275" s="56" t="s">
        <v>1292</v>
      </c>
      <c r="I275" s="58"/>
      <c r="J275" s="57">
        <v>4547332873</v>
      </c>
      <c r="K275" s="248"/>
      <c r="L275" s="168" t="s">
        <v>1296</v>
      </c>
      <c r="M275" s="16" t="s">
        <v>73</v>
      </c>
      <c r="N275" s="829" t="s">
        <v>15</v>
      </c>
      <c r="O275" s="312" t="s">
        <v>1305</v>
      </c>
      <c r="P275" s="312"/>
      <c r="Q275" s="260" t="s">
        <v>1190</v>
      </c>
      <c r="R275" s="66" t="s">
        <v>15</v>
      </c>
      <c r="S275" s="16">
        <v>0.5</v>
      </c>
      <c r="T275" s="16">
        <f>8*5.57+13.75+12.96*7</f>
        <v>149.03</v>
      </c>
      <c r="U275" s="112">
        <v>1</v>
      </c>
      <c r="V275" s="204"/>
      <c r="W275" s="16" t="s">
        <v>1309</v>
      </c>
      <c r="X275" s="16" t="s">
        <v>1310</v>
      </c>
      <c r="Y275" s="16" t="s">
        <v>1308</v>
      </c>
      <c r="Z275" s="679" t="s">
        <v>427</v>
      </c>
    </row>
    <row r="276" spans="1:26" s="56" customFormat="1" ht="12.75" customHeight="1">
      <c r="A276" s="276" t="s">
        <v>1312</v>
      </c>
      <c r="B276" s="88">
        <v>45902</v>
      </c>
      <c r="C276" s="62" t="s">
        <v>1294</v>
      </c>
      <c r="D276" s="275" t="s">
        <v>1091</v>
      </c>
      <c r="E276" s="22" t="s">
        <v>45</v>
      </c>
      <c r="F276" s="88">
        <v>45911</v>
      </c>
      <c r="G276" s="96" t="s">
        <v>583</v>
      </c>
      <c r="H276" s="62" t="s">
        <v>1295</v>
      </c>
      <c r="I276" s="96">
        <v>4542794940</v>
      </c>
      <c r="J276" s="111">
        <v>4547369562</v>
      </c>
      <c r="K276" s="246"/>
      <c r="L276" s="247"/>
      <c r="M276" s="22" t="s">
        <v>73</v>
      </c>
      <c r="N276" s="22"/>
      <c r="O276" s="239" t="s">
        <v>1311</v>
      </c>
      <c r="P276" s="239"/>
      <c r="Q276" s="270" t="s">
        <v>1190</v>
      </c>
      <c r="R276" s="88" t="s">
        <v>15</v>
      </c>
      <c r="S276" s="22">
        <v>0.5</v>
      </c>
      <c r="T276" s="22">
        <v>71.489999999999995</v>
      </c>
      <c r="U276" s="121">
        <v>1</v>
      </c>
      <c r="V276" s="244"/>
      <c r="W276" s="277">
        <v>1</v>
      </c>
      <c r="X276" s="22">
        <v>71.489999999999995</v>
      </c>
      <c r="Y276" s="22">
        <v>150</v>
      </c>
      <c r="Z276" s="62" t="s">
        <v>1075</v>
      </c>
    </row>
    <row r="277" spans="1:26" s="56" customFormat="1" ht="12.75" customHeight="1">
      <c r="A277" s="138" t="s">
        <v>1307</v>
      </c>
      <c r="B277" s="583">
        <v>45909</v>
      </c>
      <c r="C277" s="513" t="s">
        <v>1306</v>
      </c>
      <c r="D277" s="271"/>
      <c r="F277" s="204"/>
      <c r="G277" s="199"/>
      <c r="I277" s="58"/>
      <c r="J277" s="57"/>
      <c r="K277" s="248"/>
      <c r="L277" s="168"/>
      <c r="M277" s="16" t="s">
        <v>73</v>
      </c>
      <c r="N277" s="829"/>
      <c r="O277" s="56" t="s">
        <v>1323</v>
      </c>
      <c r="Q277" s="260" t="s">
        <v>1190</v>
      </c>
      <c r="R277" s="66" t="s">
        <v>15</v>
      </c>
      <c r="S277" s="16" t="s">
        <v>15</v>
      </c>
      <c r="T277" s="16" t="s">
        <v>15</v>
      </c>
      <c r="U277" s="112">
        <v>1</v>
      </c>
      <c r="V277" s="204"/>
      <c r="W277" s="66"/>
      <c r="Y277" s="16"/>
      <c r="Z277" s="679" t="s">
        <v>1321</v>
      </c>
    </row>
    <row r="278" spans="1:26" s="56" customFormat="1" ht="124.2">
      <c r="A278" s="954" t="s">
        <v>1307</v>
      </c>
      <c r="B278" s="955">
        <v>45915</v>
      </c>
      <c r="C278" s="941" t="s">
        <v>1313</v>
      </c>
      <c r="D278" s="280"/>
      <c r="E278" s="16" t="s">
        <v>45</v>
      </c>
      <c r="F278" s="66" t="s">
        <v>1384</v>
      </c>
      <c r="G278" s="278"/>
      <c r="H278" s="563" t="s">
        <v>1314</v>
      </c>
      <c r="I278" s="681"/>
      <c r="J278" s="845"/>
      <c r="K278" s="348"/>
      <c r="L278" s="281"/>
      <c r="M278" s="218" t="s">
        <v>73</v>
      </c>
      <c r="N278" s="218"/>
      <c r="O278" s="296" t="s">
        <v>1372</v>
      </c>
      <c r="P278" s="296"/>
      <c r="Q278" s="297" t="s">
        <v>1190</v>
      </c>
      <c r="R278" s="298" t="s">
        <v>15</v>
      </c>
      <c r="S278" s="216">
        <v>0.5</v>
      </c>
      <c r="T278" s="216" t="s">
        <v>15</v>
      </c>
      <c r="U278" s="299">
        <v>1</v>
      </c>
      <c r="V278" s="300"/>
      <c r="W278" s="298"/>
      <c r="X278" s="296"/>
      <c r="Y278" s="216"/>
      <c r="Z278" s="279"/>
    </row>
    <row r="279" spans="1:26" s="56" customFormat="1" ht="27.6">
      <c r="A279" s="954"/>
      <c r="B279" s="955"/>
      <c r="C279" s="941"/>
      <c r="D279" s="280"/>
      <c r="E279" s="16" t="s">
        <v>45</v>
      </c>
      <c r="F279" s="66" t="s">
        <v>1384</v>
      </c>
      <c r="G279" s="278"/>
      <c r="H279" s="563" t="s">
        <v>1315</v>
      </c>
      <c r="I279" s="681"/>
      <c r="J279" s="845"/>
      <c r="K279" s="348"/>
      <c r="L279" s="281"/>
      <c r="M279" s="218" t="s">
        <v>73</v>
      </c>
      <c r="N279" s="218"/>
      <c r="O279" s="301" t="s">
        <v>1328</v>
      </c>
      <c r="P279" s="301"/>
      <c r="Q279" s="297" t="s">
        <v>1190</v>
      </c>
      <c r="R279" s="298" t="s">
        <v>15</v>
      </c>
      <c r="S279" s="216">
        <v>0.5</v>
      </c>
      <c r="T279" s="216" t="s">
        <v>15</v>
      </c>
      <c r="U279" s="299">
        <v>1</v>
      </c>
      <c r="V279" s="300"/>
      <c r="W279" s="298"/>
      <c r="X279" s="296"/>
      <c r="Y279" s="216"/>
      <c r="Z279" s="279" t="s">
        <v>1321</v>
      </c>
    </row>
    <row r="280" spans="1:26" s="56" customFormat="1" ht="27.6">
      <c r="A280" s="954"/>
      <c r="B280" s="955"/>
      <c r="C280" s="941"/>
      <c r="D280" s="280"/>
      <c r="E280" s="16" t="s">
        <v>45</v>
      </c>
      <c r="F280" s="66" t="s">
        <v>1384</v>
      </c>
      <c r="G280" s="278"/>
      <c r="H280" s="302" t="s">
        <v>1316</v>
      </c>
      <c r="I280" s="681"/>
      <c r="J280" s="845"/>
      <c r="K280" s="348"/>
      <c r="L280" s="281"/>
      <c r="M280" s="218" t="s">
        <v>73</v>
      </c>
      <c r="N280" s="218"/>
      <c r="O280" s="301" t="s">
        <v>1328</v>
      </c>
      <c r="P280" s="301"/>
      <c r="Q280" s="297" t="s">
        <v>1190</v>
      </c>
      <c r="R280" s="298" t="s">
        <v>15</v>
      </c>
      <c r="S280" s="216">
        <v>0.5</v>
      </c>
      <c r="T280" s="216" t="s">
        <v>15</v>
      </c>
      <c r="U280" s="299">
        <v>1</v>
      </c>
      <c r="V280" s="300"/>
      <c r="W280" s="298"/>
      <c r="X280" s="296"/>
      <c r="Y280" s="216"/>
      <c r="Z280" s="279"/>
    </row>
    <row r="281" spans="1:26" s="56" customFormat="1" ht="27.6">
      <c r="A281" s="954"/>
      <c r="B281" s="955"/>
      <c r="C281" s="941"/>
      <c r="D281" s="280"/>
      <c r="E281" s="16" t="s">
        <v>45</v>
      </c>
      <c r="F281" s="66" t="s">
        <v>1384</v>
      </c>
      <c r="G281" s="278"/>
      <c r="H281" s="302" t="s">
        <v>1317</v>
      </c>
      <c r="I281" s="681"/>
      <c r="J281" s="845"/>
      <c r="K281" s="348"/>
      <c r="L281" s="281"/>
      <c r="M281" s="218" t="s">
        <v>73</v>
      </c>
      <c r="N281" s="218"/>
      <c r="O281" s="301" t="s">
        <v>1328</v>
      </c>
      <c r="P281" s="301"/>
      <c r="Q281" s="297" t="s">
        <v>1190</v>
      </c>
      <c r="R281" s="298" t="s">
        <v>15</v>
      </c>
      <c r="S281" s="216">
        <v>0.5</v>
      </c>
      <c r="T281" s="216" t="s">
        <v>15</v>
      </c>
      <c r="U281" s="299">
        <v>1</v>
      </c>
      <c r="V281" s="300"/>
      <c r="W281" s="298"/>
      <c r="X281" s="296"/>
      <c r="Y281" s="216"/>
      <c r="Z281" s="279"/>
    </row>
    <row r="282" spans="1:26" s="56" customFormat="1" ht="132">
      <c r="A282" s="139" t="s">
        <v>933</v>
      </c>
      <c r="B282" s="583">
        <v>45916</v>
      </c>
      <c r="C282" s="513" t="s">
        <v>1319</v>
      </c>
      <c r="D282" s="58" t="s">
        <v>142</v>
      </c>
      <c r="E282" s="16" t="s">
        <v>45</v>
      </c>
      <c r="F282" s="66">
        <v>45917</v>
      </c>
      <c r="G282" s="58" t="s">
        <v>583</v>
      </c>
      <c r="H282" s="56" t="s">
        <v>1318</v>
      </c>
      <c r="I282" s="58"/>
      <c r="J282" s="57"/>
      <c r="K282" s="248"/>
      <c r="L282" s="168"/>
      <c r="M282" s="16" t="s">
        <v>73</v>
      </c>
      <c r="N282" s="829" t="s">
        <v>15</v>
      </c>
      <c r="O282" s="93" t="s">
        <v>1322</v>
      </c>
      <c r="P282" s="93"/>
      <c r="Q282" s="260" t="s">
        <v>1190</v>
      </c>
      <c r="R282" s="66"/>
      <c r="S282" s="16">
        <v>1</v>
      </c>
      <c r="T282" s="16"/>
      <c r="U282" s="16"/>
      <c r="V282" s="248"/>
      <c r="W282" s="66"/>
      <c r="Y282" s="16"/>
      <c r="Z282" s="679" t="s">
        <v>1320</v>
      </c>
    </row>
    <row r="283" spans="1:26" s="56" customFormat="1" ht="12.75" customHeight="1">
      <c r="A283" s="244" t="s">
        <v>98</v>
      </c>
      <c r="B283" s="88">
        <v>45917</v>
      </c>
      <c r="C283" s="62" t="s">
        <v>1324</v>
      </c>
      <c r="D283" s="275"/>
      <c r="E283" s="22" t="s">
        <v>45</v>
      </c>
      <c r="F283" s="88">
        <v>45917</v>
      </c>
      <c r="G283" s="88" t="s">
        <v>848</v>
      </c>
      <c r="H283" s="258" t="s">
        <v>1326</v>
      </c>
      <c r="I283" s="700">
        <v>4545364726</v>
      </c>
      <c r="J283" s="111"/>
      <c r="K283" s="246"/>
      <c r="L283" s="258" t="s">
        <v>1325</v>
      </c>
      <c r="M283" s="22" t="s">
        <v>73</v>
      </c>
      <c r="N283" s="22"/>
      <c r="O283" s="62"/>
      <c r="P283" s="62"/>
      <c r="Q283" s="88" t="s">
        <v>1327</v>
      </c>
      <c r="R283" s="88" t="s">
        <v>1327</v>
      </c>
      <c r="S283" s="22" t="s">
        <v>1327</v>
      </c>
      <c r="T283" s="22" t="s">
        <v>1327</v>
      </c>
      <c r="U283" s="22" t="s">
        <v>1327</v>
      </c>
      <c r="V283" s="244"/>
      <c r="W283" s="277">
        <v>1</v>
      </c>
      <c r="X283" s="22">
        <v>18.91</v>
      </c>
      <c r="Y283" s="22"/>
      <c r="Z283" s="10" t="s">
        <v>279</v>
      </c>
    </row>
    <row r="284" spans="1:26" s="56" customFormat="1" ht="27.6">
      <c r="A284" s="248" t="s">
        <v>98</v>
      </c>
      <c r="B284" s="583">
        <v>45922</v>
      </c>
      <c r="C284" s="60" t="s">
        <v>1330</v>
      </c>
      <c r="D284" s="284"/>
      <c r="E284" s="16" t="s">
        <v>45</v>
      </c>
      <c r="F284" s="66">
        <v>45925</v>
      </c>
      <c r="G284" s="16" t="s">
        <v>583</v>
      </c>
      <c r="H284" s="168"/>
      <c r="I284" s="315">
        <v>4545822800</v>
      </c>
      <c r="J284" s="839">
        <v>4547584336</v>
      </c>
      <c r="K284" s="248"/>
      <c r="L284" s="305">
        <v>51964473</v>
      </c>
      <c r="M284" s="16" t="s">
        <v>73</v>
      </c>
      <c r="N284" s="829"/>
      <c r="O284" s="56" t="s">
        <v>1337</v>
      </c>
      <c r="Q284" s="260" t="s">
        <v>1190</v>
      </c>
      <c r="R284" s="66" t="s">
        <v>15</v>
      </c>
      <c r="S284" s="16">
        <v>0.5</v>
      </c>
      <c r="T284" s="16">
        <v>370.85</v>
      </c>
      <c r="U284" s="112">
        <v>1</v>
      </c>
      <c r="V284" s="248"/>
      <c r="W284" s="282">
        <v>1</v>
      </c>
      <c r="X284" s="16">
        <v>370.85</v>
      </c>
      <c r="Y284" s="16" t="s">
        <v>1373</v>
      </c>
      <c r="Z284" s="679" t="s">
        <v>279</v>
      </c>
    </row>
    <row r="285" spans="1:26" s="56" customFormat="1" ht="27.6">
      <c r="A285" s="248" t="s">
        <v>98</v>
      </c>
      <c r="B285" s="583">
        <v>45922</v>
      </c>
      <c r="C285" s="60" t="s">
        <v>1329</v>
      </c>
      <c r="D285" s="284"/>
      <c r="E285" s="16" t="s">
        <v>45</v>
      </c>
      <c r="F285" s="66">
        <v>45925</v>
      </c>
      <c r="G285" s="16" t="s">
        <v>583</v>
      </c>
      <c r="H285" s="168"/>
      <c r="I285" s="315">
        <v>4545822800</v>
      </c>
      <c r="J285" s="839">
        <v>4547584338</v>
      </c>
      <c r="K285" s="248"/>
      <c r="L285" s="305">
        <v>51964473</v>
      </c>
      <c r="M285" s="16" t="s">
        <v>73</v>
      </c>
      <c r="N285" s="829"/>
      <c r="O285" s="56" t="s">
        <v>1337</v>
      </c>
      <c r="Q285" s="260" t="s">
        <v>1190</v>
      </c>
      <c r="R285" s="66" t="s">
        <v>15</v>
      </c>
      <c r="S285" s="16">
        <v>0.5</v>
      </c>
      <c r="T285" s="16">
        <v>370.85</v>
      </c>
      <c r="U285" s="112">
        <v>1</v>
      </c>
      <c r="V285" s="248"/>
      <c r="W285" s="282">
        <v>1</v>
      </c>
      <c r="X285" s="16">
        <v>370.85</v>
      </c>
      <c r="Y285" s="16" t="s">
        <v>1373</v>
      </c>
      <c r="Z285" s="679" t="s">
        <v>279</v>
      </c>
    </row>
    <row r="286" spans="1:26" s="56" customFormat="1" ht="27.6">
      <c r="A286" s="248" t="s">
        <v>98</v>
      </c>
      <c r="B286" s="583">
        <v>45922</v>
      </c>
      <c r="C286" s="513" t="s">
        <v>1331</v>
      </c>
      <c r="D286" s="271"/>
      <c r="E286" s="16" t="s">
        <v>45</v>
      </c>
      <c r="F286" s="66">
        <v>45925</v>
      </c>
      <c r="G286" s="66"/>
      <c r="H286" s="168" t="s">
        <v>1333</v>
      </c>
      <c r="I286" s="235">
        <v>4545822800</v>
      </c>
      <c r="J286" s="57"/>
      <c r="K286" s="248"/>
      <c r="L286" s="168" t="s">
        <v>1332</v>
      </c>
      <c r="M286" s="16" t="s">
        <v>73</v>
      </c>
      <c r="N286" s="829"/>
      <c r="O286" s="56" t="s">
        <v>1338</v>
      </c>
      <c r="Q286" s="260" t="s">
        <v>1190</v>
      </c>
      <c r="R286" s="66" t="s">
        <v>15</v>
      </c>
      <c r="S286" s="16">
        <v>0.5</v>
      </c>
      <c r="T286" s="16">
        <v>323.81</v>
      </c>
      <c r="U286" s="112">
        <v>1</v>
      </c>
      <c r="V286" s="248"/>
      <c r="W286" s="282">
        <v>1</v>
      </c>
      <c r="X286" s="16">
        <v>323.81</v>
      </c>
      <c r="Y286" s="16">
        <v>403</v>
      </c>
      <c r="Z286" s="679" t="s">
        <v>279</v>
      </c>
    </row>
    <row r="287" spans="1:26" s="56" customFormat="1" ht="27.6">
      <c r="A287" s="248" t="s">
        <v>188</v>
      </c>
      <c r="B287" s="583">
        <v>45923</v>
      </c>
      <c r="C287" s="513" t="s">
        <v>1334</v>
      </c>
      <c r="D287" s="271"/>
      <c r="E287" s="16" t="s">
        <v>45</v>
      </c>
      <c r="F287" s="66">
        <v>45925</v>
      </c>
      <c r="G287" s="66"/>
      <c r="H287" s="168" t="s">
        <v>1335</v>
      </c>
      <c r="I287" s="235"/>
      <c r="J287" s="57"/>
      <c r="K287" s="248"/>
      <c r="L287" s="168" t="s">
        <v>1336</v>
      </c>
      <c r="M287" s="16" t="s">
        <v>73</v>
      </c>
      <c r="N287" s="829"/>
      <c r="O287" s="56" t="s">
        <v>1339</v>
      </c>
      <c r="Q287" s="260" t="s">
        <v>1190</v>
      </c>
      <c r="R287" s="66" t="s">
        <v>15</v>
      </c>
      <c r="S287" s="16">
        <v>0.5</v>
      </c>
      <c r="T287" s="16">
        <f>40*9.49</f>
        <v>379.6</v>
      </c>
      <c r="U287" s="112">
        <v>1</v>
      </c>
      <c r="V287" s="248"/>
      <c r="W287" s="282">
        <v>40</v>
      </c>
      <c r="X287" s="16">
        <v>9.49</v>
      </c>
      <c r="Y287" s="16">
        <v>458</v>
      </c>
      <c r="Z287" s="679" t="s">
        <v>122</v>
      </c>
    </row>
    <row r="288" spans="1:26" s="56" customFormat="1" ht="12.75" customHeight="1">
      <c r="A288" s="204" t="s">
        <v>98</v>
      </c>
      <c r="B288" s="583">
        <v>45924</v>
      </c>
      <c r="C288" s="513" t="s">
        <v>1340</v>
      </c>
      <c r="D288" s="284"/>
      <c r="E288" s="16" t="s">
        <v>45</v>
      </c>
      <c r="F288" s="66">
        <v>45926</v>
      </c>
      <c r="G288" s="66"/>
      <c r="H288" s="102" t="s">
        <v>1341</v>
      </c>
      <c r="I288" s="696">
        <v>4544988102</v>
      </c>
      <c r="J288" s="57"/>
      <c r="K288" s="248"/>
      <c r="L288" s="102" t="s">
        <v>1342</v>
      </c>
      <c r="M288" s="16" t="s">
        <v>73</v>
      </c>
      <c r="N288" s="829"/>
      <c r="O288" s="56" t="s">
        <v>1352</v>
      </c>
      <c r="Q288" s="260" t="s">
        <v>1190</v>
      </c>
      <c r="R288" s="66" t="s">
        <v>15</v>
      </c>
      <c r="S288" s="16">
        <v>0.5</v>
      </c>
      <c r="T288" s="16">
        <v>25.05</v>
      </c>
      <c r="U288" s="112">
        <v>1</v>
      </c>
      <c r="V288" s="204"/>
      <c r="W288" s="282">
        <v>1</v>
      </c>
      <c r="X288" s="16">
        <v>25.05</v>
      </c>
      <c r="Y288" s="16">
        <v>104</v>
      </c>
      <c r="Z288" s="6" t="s">
        <v>279</v>
      </c>
    </row>
    <row r="289" spans="1:26" s="56" customFormat="1" ht="27.6">
      <c r="A289" s="248" t="s">
        <v>188</v>
      </c>
      <c r="B289" s="583">
        <v>45925</v>
      </c>
      <c r="C289" s="513" t="s">
        <v>1343</v>
      </c>
      <c r="D289" s="284"/>
      <c r="E289" s="16" t="s">
        <v>45</v>
      </c>
      <c r="F289" s="66">
        <v>45926</v>
      </c>
      <c r="G289" s="66"/>
      <c r="H289" s="168" t="s">
        <v>1344</v>
      </c>
      <c r="I289" s="235"/>
      <c r="J289" s="57">
        <v>4547569250</v>
      </c>
      <c r="K289" s="248"/>
      <c r="L289" s="168" t="s">
        <v>1348</v>
      </c>
      <c r="M289" s="16" t="s">
        <v>73</v>
      </c>
      <c r="N289" s="829"/>
      <c r="O289" s="56" t="s">
        <v>1353</v>
      </c>
      <c r="Q289" s="260" t="s">
        <v>1190</v>
      </c>
      <c r="R289" s="66" t="s">
        <v>15</v>
      </c>
      <c r="S289" s="16">
        <v>0.5</v>
      </c>
      <c r="T289" s="16">
        <f>4*9.9+4*67.68</f>
        <v>310.32000000000005</v>
      </c>
      <c r="U289" s="112">
        <v>1</v>
      </c>
      <c r="V289" s="248"/>
      <c r="W289" s="282" t="s">
        <v>1356</v>
      </c>
      <c r="X289" s="16" t="s">
        <v>1357</v>
      </c>
      <c r="Y289" s="16">
        <v>389</v>
      </c>
      <c r="Z289" s="679" t="s">
        <v>122</v>
      </c>
    </row>
    <row r="290" spans="1:26" s="56" customFormat="1" ht="12.75" customHeight="1">
      <c r="A290" s="204" t="s">
        <v>188</v>
      </c>
      <c r="B290" s="583">
        <v>45925</v>
      </c>
      <c r="C290" s="513" t="s">
        <v>1345</v>
      </c>
      <c r="D290" s="284"/>
      <c r="E290" s="16" t="s">
        <v>45</v>
      </c>
      <c r="F290" s="66">
        <v>45926</v>
      </c>
      <c r="G290" s="66"/>
      <c r="H290" s="102" t="s">
        <v>1346</v>
      </c>
      <c r="I290" s="696"/>
      <c r="J290" s="57">
        <v>4547569249</v>
      </c>
      <c r="K290" s="248"/>
      <c r="L290" s="102" t="s">
        <v>1347</v>
      </c>
      <c r="M290" s="16" t="s">
        <v>73</v>
      </c>
      <c r="N290" s="829"/>
      <c r="O290" s="56" t="s">
        <v>1354</v>
      </c>
      <c r="Q290" s="260" t="s">
        <v>1190</v>
      </c>
      <c r="R290" s="66" t="s">
        <v>15</v>
      </c>
      <c r="S290" s="16">
        <v>0.5</v>
      </c>
      <c r="T290" s="16">
        <f>4*9.9</f>
        <v>39.6</v>
      </c>
      <c r="U290" s="112">
        <v>1</v>
      </c>
      <c r="V290" s="204"/>
      <c r="W290" s="282">
        <v>4</v>
      </c>
      <c r="X290" s="16">
        <v>9.9</v>
      </c>
      <c r="Y290" s="16">
        <v>118</v>
      </c>
      <c r="Z290" s="6" t="s">
        <v>122</v>
      </c>
    </row>
    <row r="291" spans="1:26" s="56" customFormat="1" ht="12.75" customHeight="1">
      <c r="A291" s="244" t="s">
        <v>188</v>
      </c>
      <c r="B291" s="88">
        <v>45925</v>
      </c>
      <c r="C291" s="62" t="s">
        <v>1349</v>
      </c>
      <c r="D291" s="295"/>
      <c r="E291" s="22" t="s">
        <v>45</v>
      </c>
      <c r="F291" s="88">
        <v>45926</v>
      </c>
      <c r="G291" s="88"/>
      <c r="H291" s="258" t="s">
        <v>1350</v>
      </c>
      <c r="I291" s="700"/>
      <c r="J291" s="111">
        <v>4547569269</v>
      </c>
      <c r="K291" s="246"/>
      <c r="L291" s="247" t="s">
        <v>1351</v>
      </c>
      <c r="M291" s="22" t="s">
        <v>73</v>
      </c>
      <c r="N291" s="22"/>
      <c r="O291" s="62" t="s">
        <v>1355</v>
      </c>
      <c r="P291" s="62"/>
      <c r="Q291" s="270" t="s">
        <v>1190</v>
      </c>
      <c r="R291" s="88" t="s">
        <v>15</v>
      </c>
      <c r="S291" s="22">
        <v>0.5</v>
      </c>
      <c r="T291" s="22">
        <f>4*67.68</f>
        <v>270.72000000000003</v>
      </c>
      <c r="U291" s="121">
        <v>1</v>
      </c>
      <c r="V291" s="244"/>
      <c r="W291" s="277">
        <v>4</v>
      </c>
      <c r="X291" s="22">
        <v>67.680000000000007</v>
      </c>
      <c r="Y291" s="22">
        <v>350</v>
      </c>
      <c r="Z291" s="10" t="s">
        <v>122</v>
      </c>
    </row>
    <row r="292" spans="1:26" s="56" customFormat="1" ht="12.75" customHeight="1">
      <c r="A292" s="285" t="s">
        <v>1358</v>
      </c>
      <c r="B292" s="290">
        <v>45925</v>
      </c>
      <c r="C292" s="286">
        <v>50802551</v>
      </c>
      <c r="D292" s="287"/>
      <c r="E292" s="288" t="s">
        <v>45</v>
      </c>
      <c r="F292" s="289">
        <v>45930</v>
      </c>
      <c r="G292" s="290"/>
      <c r="H292" s="293"/>
      <c r="I292" s="701"/>
      <c r="J292" s="846"/>
      <c r="K292" s="349"/>
      <c r="L292" s="294">
        <v>50802551</v>
      </c>
      <c r="M292" s="288" t="s">
        <v>73</v>
      </c>
      <c r="N292" s="288"/>
      <c r="O292" s="286" t="s">
        <v>1393</v>
      </c>
      <c r="P292" s="286"/>
      <c r="Q292" s="291" t="s">
        <v>1190</v>
      </c>
      <c r="R292" s="290" t="s">
        <v>15</v>
      </c>
      <c r="S292" s="288">
        <v>2</v>
      </c>
      <c r="T292" s="288">
        <v>75.44</v>
      </c>
      <c r="U292" s="310">
        <v>1</v>
      </c>
      <c r="V292" s="285"/>
      <c r="W292" s="292">
        <v>1</v>
      </c>
      <c r="X292" s="288">
        <v>75.44</v>
      </c>
      <c r="Y292" s="288"/>
      <c r="Z292" s="10" t="s">
        <v>1359</v>
      </c>
    </row>
    <row r="293" spans="1:26" s="56" customFormat="1" ht="26.4">
      <c r="A293" s="248" t="s">
        <v>98</v>
      </c>
      <c r="B293" s="583">
        <v>45930</v>
      </c>
      <c r="C293" s="513" t="s">
        <v>1360</v>
      </c>
      <c r="D293" s="271"/>
      <c r="E293" s="16" t="s">
        <v>45</v>
      </c>
      <c r="F293" s="313">
        <v>45943</v>
      </c>
      <c r="G293" s="66"/>
      <c r="H293" s="168" t="s">
        <v>1361</v>
      </c>
      <c r="I293" s="235">
        <v>4546014029</v>
      </c>
      <c r="J293" s="839">
        <v>4548087018</v>
      </c>
      <c r="K293" s="248"/>
      <c r="L293" s="168" t="s">
        <v>1362</v>
      </c>
      <c r="M293" s="16" t="s">
        <v>73</v>
      </c>
      <c r="N293" s="829"/>
      <c r="O293" s="93" t="s">
        <v>1395</v>
      </c>
      <c r="P293" s="93"/>
      <c r="Q293" s="260" t="s">
        <v>1190</v>
      </c>
      <c r="R293" s="66" t="s">
        <v>15</v>
      </c>
      <c r="S293" s="16">
        <v>0.5</v>
      </c>
      <c r="T293" s="16">
        <f>2*7.15+2*144.66</f>
        <v>303.62</v>
      </c>
      <c r="U293" s="112">
        <v>1</v>
      </c>
      <c r="V293" s="248"/>
      <c r="W293" s="282" t="s">
        <v>1086</v>
      </c>
      <c r="X293" s="16" t="s">
        <v>1400</v>
      </c>
      <c r="Y293" s="16">
        <v>382</v>
      </c>
      <c r="Z293" s="679" t="s">
        <v>279</v>
      </c>
    </row>
    <row r="294" spans="1:26" s="56" customFormat="1" ht="12.75" customHeight="1">
      <c r="A294" s="960" t="s">
        <v>188</v>
      </c>
      <c r="B294" s="939">
        <v>45930</v>
      </c>
      <c r="C294" s="961" t="s">
        <v>1363</v>
      </c>
      <c r="D294" s="271"/>
      <c r="E294" s="956" t="s">
        <v>45</v>
      </c>
      <c r="F294" s="957">
        <v>45943</v>
      </c>
      <c r="G294" s="939" t="s">
        <v>1371</v>
      </c>
      <c r="H294" s="102" t="s">
        <v>1364</v>
      </c>
      <c r="I294" s="235" t="s">
        <v>1369</v>
      </c>
      <c r="J294" s="57"/>
      <c r="K294" s="248"/>
      <c r="L294" s="102" t="s">
        <v>1368</v>
      </c>
      <c r="M294" s="16" t="s">
        <v>73</v>
      </c>
      <c r="N294" s="829"/>
      <c r="O294" s="56" t="s">
        <v>1394</v>
      </c>
      <c r="Q294" s="260" t="s">
        <v>1190</v>
      </c>
      <c r="R294" s="66" t="s">
        <v>15</v>
      </c>
      <c r="S294" s="16">
        <v>0.5</v>
      </c>
      <c r="T294" s="16">
        <f>5*7.7</f>
        <v>38.5</v>
      </c>
      <c r="U294" s="112">
        <v>1</v>
      </c>
      <c r="V294" s="204"/>
      <c r="W294" s="282">
        <v>5</v>
      </c>
      <c r="X294" s="16">
        <v>7.7</v>
      </c>
      <c r="Y294" s="16">
        <v>117</v>
      </c>
      <c r="Z294" s="961" t="s">
        <v>122</v>
      </c>
    </row>
    <row r="295" spans="1:26" s="56" customFormat="1" ht="12.75" customHeight="1">
      <c r="A295" s="960"/>
      <c r="B295" s="939"/>
      <c r="C295" s="961"/>
      <c r="D295" s="271"/>
      <c r="E295" s="956"/>
      <c r="F295" s="957"/>
      <c r="G295" s="939"/>
      <c r="H295" s="102" t="s">
        <v>1365</v>
      </c>
      <c r="I295" s="235" t="s">
        <v>1370</v>
      </c>
      <c r="J295" s="57"/>
      <c r="K295" s="248"/>
      <c r="L295" s="102" t="s">
        <v>1368</v>
      </c>
      <c r="M295" s="16" t="s">
        <v>73</v>
      </c>
      <c r="N295" s="829"/>
      <c r="O295" s="56" t="s">
        <v>1394</v>
      </c>
      <c r="Q295" s="260" t="s">
        <v>1190</v>
      </c>
      <c r="R295" s="66" t="s">
        <v>15</v>
      </c>
      <c r="S295" s="16">
        <v>0.5</v>
      </c>
      <c r="T295" s="16">
        <f>5*7.7</f>
        <v>38.5</v>
      </c>
      <c r="U295" s="112">
        <v>1</v>
      </c>
      <c r="V295" s="204"/>
      <c r="W295" s="282">
        <v>5</v>
      </c>
      <c r="X295" s="16">
        <v>7.7</v>
      </c>
      <c r="Y295" s="16">
        <v>117</v>
      </c>
      <c r="Z295" s="961"/>
    </row>
    <row r="296" spans="1:26" s="56" customFormat="1" ht="12.75" customHeight="1">
      <c r="A296" s="960"/>
      <c r="B296" s="939"/>
      <c r="C296" s="961"/>
      <c r="D296" s="271"/>
      <c r="E296" s="956"/>
      <c r="F296" s="957"/>
      <c r="G296" s="939"/>
      <c r="H296" s="102" t="s">
        <v>1366</v>
      </c>
      <c r="I296" s="696"/>
      <c r="J296" s="57"/>
      <c r="K296" s="248"/>
      <c r="L296" s="102" t="s">
        <v>1368</v>
      </c>
      <c r="M296" s="16" t="s">
        <v>73</v>
      </c>
      <c r="N296" s="829"/>
      <c r="O296" s="56" t="s">
        <v>1394</v>
      </c>
      <c r="Q296" s="260" t="s">
        <v>1190</v>
      </c>
      <c r="R296" s="66" t="s">
        <v>15</v>
      </c>
      <c r="S296" s="16">
        <v>0.5</v>
      </c>
      <c r="T296" s="16">
        <f>5*7.7</f>
        <v>38.5</v>
      </c>
      <c r="U296" s="112">
        <v>1</v>
      </c>
      <c r="V296" s="204"/>
      <c r="W296" s="282">
        <v>5</v>
      </c>
      <c r="X296" s="16">
        <v>7.7</v>
      </c>
      <c r="Y296" s="16">
        <v>117</v>
      </c>
      <c r="Z296" s="961"/>
    </row>
    <row r="297" spans="1:26" s="56" customFormat="1" ht="12.75" customHeight="1">
      <c r="A297" s="960"/>
      <c r="B297" s="939"/>
      <c r="C297" s="961"/>
      <c r="D297" s="271"/>
      <c r="E297" s="956"/>
      <c r="F297" s="957"/>
      <c r="G297" s="939"/>
      <c r="H297" s="102" t="s">
        <v>1367</v>
      </c>
      <c r="I297" s="696"/>
      <c r="J297" s="57"/>
      <c r="K297" s="248"/>
      <c r="L297" s="102" t="s">
        <v>1368</v>
      </c>
      <c r="M297" s="16" t="s">
        <v>73</v>
      </c>
      <c r="N297" s="829"/>
      <c r="O297" s="56" t="s">
        <v>1394</v>
      </c>
      <c r="Q297" s="260" t="s">
        <v>1190</v>
      </c>
      <c r="R297" s="66" t="s">
        <v>15</v>
      </c>
      <c r="S297" s="16">
        <v>0.5</v>
      </c>
      <c r="T297" s="16">
        <f>5*7.7</f>
        <v>38.5</v>
      </c>
      <c r="U297" s="112">
        <v>1</v>
      </c>
      <c r="V297" s="204"/>
      <c r="W297" s="282">
        <v>5</v>
      </c>
      <c r="X297" s="16">
        <v>7.7</v>
      </c>
      <c r="Y297" s="16">
        <v>117</v>
      </c>
      <c r="Z297" s="961"/>
    </row>
    <row r="298" spans="1:26" s="56" customFormat="1" ht="12.75" customHeight="1">
      <c r="A298" s="204" t="s">
        <v>1284</v>
      </c>
      <c r="B298" s="583">
        <v>45931</v>
      </c>
      <c r="C298" s="513" t="s">
        <v>1374</v>
      </c>
      <c r="D298" s="16" t="s">
        <v>480</v>
      </c>
      <c r="E298" s="16" t="s">
        <v>45</v>
      </c>
      <c r="F298" s="283">
        <v>45933</v>
      </c>
      <c r="G298" s="66" t="s">
        <v>1398</v>
      </c>
      <c r="H298" s="102"/>
      <c r="I298" s="696"/>
      <c r="J298" s="57"/>
      <c r="K298" s="248"/>
      <c r="L298" s="102" t="s">
        <v>1375</v>
      </c>
      <c r="M298" s="16" t="s">
        <v>73</v>
      </c>
      <c r="N298" s="829"/>
      <c r="Q298" s="260" t="s">
        <v>15</v>
      </c>
      <c r="R298" s="66" t="s">
        <v>15</v>
      </c>
      <c r="S298" s="16" t="s">
        <v>15</v>
      </c>
      <c r="T298" s="16" t="s">
        <v>15</v>
      </c>
      <c r="U298" s="16" t="s">
        <v>15</v>
      </c>
      <c r="V298" s="240" t="s">
        <v>1379</v>
      </c>
      <c r="W298" s="282" t="s">
        <v>1382</v>
      </c>
      <c r="X298" s="16" t="s">
        <v>1383</v>
      </c>
      <c r="Y298" s="16">
        <v>191</v>
      </c>
      <c r="Z298" s="6" t="s">
        <v>975</v>
      </c>
    </row>
    <row r="299" spans="1:26" s="56" customFormat="1" ht="12" customHeight="1">
      <c r="A299" s="244" t="s">
        <v>1284</v>
      </c>
      <c r="B299" s="88">
        <v>45931</v>
      </c>
      <c r="C299" s="62" t="s">
        <v>1376</v>
      </c>
      <c r="D299" s="22" t="s">
        <v>480</v>
      </c>
      <c r="E299" s="22" t="s">
        <v>45</v>
      </c>
      <c r="F299" s="314">
        <v>45933</v>
      </c>
      <c r="G299" s="88"/>
      <c r="H299" s="257" t="s">
        <v>1377</v>
      </c>
      <c r="I299" s="702"/>
      <c r="J299" s="111"/>
      <c r="K299" s="272"/>
      <c r="L299" s="257" t="s">
        <v>1378</v>
      </c>
      <c r="M299" s="22" t="s">
        <v>73</v>
      </c>
      <c r="N299" s="22">
        <v>30195</v>
      </c>
      <c r="O299" s="62"/>
      <c r="P299" s="62"/>
      <c r="Q299" s="243" t="s">
        <v>1380</v>
      </c>
      <c r="R299" s="88" t="s">
        <v>15</v>
      </c>
      <c r="S299" s="22">
        <v>2</v>
      </c>
      <c r="T299" s="22">
        <v>555.24</v>
      </c>
      <c r="U299" s="121">
        <v>1</v>
      </c>
      <c r="V299" s="257"/>
      <c r="W299" s="277" t="s">
        <v>1381</v>
      </c>
      <c r="X299" s="22">
        <v>555.27</v>
      </c>
      <c r="Y299" s="22">
        <v>635</v>
      </c>
      <c r="Z299" s="10" t="s">
        <v>975</v>
      </c>
    </row>
    <row r="300" spans="1:26" s="56" customFormat="1" ht="12" customHeight="1">
      <c r="A300" s="204" t="s">
        <v>519</v>
      </c>
      <c r="B300" s="583">
        <v>45936</v>
      </c>
      <c r="C300" s="513" t="s">
        <v>1385</v>
      </c>
      <c r="D300" s="271"/>
      <c r="E300" s="16" t="s">
        <v>45</v>
      </c>
      <c r="F300" s="283">
        <v>45946</v>
      </c>
      <c r="G300" s="66"/>
      <c r="H300" s="102"/>
      <c r="I300" s="696"/>
      <c r="J300" s="57"/>
      <c r="K300" s="248"/>
      <c r="L300" s="102" t="s">
        <v>1386</v>
      </c>
      <c r="M300" s="16" t="s">
        <v>73</v>
      </c>
      <c r="N300" s="829"/>
      <c r="Q300" s="260" t="s">
        <v>1380</v>
      </c>
      <c r="R300" s="66" t="s">
        <v>15</v>
      </c>
      <c r="S300" s="16">
        <v>1</v>
      </c>
      <c r="T300" s="16">
        <v>61.62</v>
      </c>
      <c r="U300" s="112">
        <v>1</v>
      </c>
      <c r="V300" s="204"/>
      <c r="W300" s="282" t="s">
        <v>1407</v>
      </c>
      <c r="X300" s="124" t="s">
        <v>1408</v>
      </c>
      <c r="Y300" s="16">
        <v>140</v>
      </c>
      <c r="Z300" s="6" t="s">
        <v>490</v>
      </c>
    </row>
    <row r="301" spans="1:26" s="56" customFormat="1" ht="12" customHeight="1">
      <c r="A301" s="204" t="s">
        <v>1389</v>
      </c>
      <c r="B301" s="583">
        <v>45939</v>
      </c>
      <c r="C301" s="513" t="s">
        <v>1387</v>
      </c>
      <c r="D301" s="271"/>
      <c r="E301" s="16" t="s">
        <v>45</v>
      </c>
      <c r="F301" s="283">
        <v>45946</v>
      </c>
      <c r="G301" s="66"/>
      <c r="H301" s="102" t="s">
        <v>1388</v>
      </c>
      <c r="I301" s="696"/>
      <c r="J301" s="57"/>
      <c r="K301" s="248"/>
      <c r="L301" s="102" t="s">
        <v>1390</v>
      </c>
      <c r="M301" s="16" t="s">
        <v>73</v>
      </c>
      <c r="N301" s="829"/>
      <c r="Q301" s="260" t="s">
        <v>1380</v>
      </c>
      <c r="R301" s="66" t="s">
        <v>15</v>
      </c>
      <c r="S301" s="16">
        <v>1</v>
      </c>
      <c r="T301" s="16" t="s">
        <v>1406</v>
      </c>
      <c r="U301" s="112">
        <v>1</v>
      </c>
      <c r="V301" s="204"/>
      <c r="W301" s="282" t="s">
        <v>1409</v>
      </c>
      <c r="X301" s="16" t="s">
        <v>1410</v>
      </c>
      <c r="Y301" s="16">
        <v>123</v>
      </c>
      <c r="Z301" s="6" t="s">
        <v>427</v>
      </c>
    </row>
    <row r="302" spans="1:26" s="56" customFormat="1" ht="12" customHeight="1">
      <c r="A302" s="244" t="s">
        <v>1389</v>
      </c>
      <c r="B302" s="88">
        <v>45939</v>
      </c>
      <c r="C302" s="62" t="s">
        <v>1391</v>
      </c>
      <c r="D302" s="275"/>
      <c r="E302" s="22" t="s">
        <v>45</v>
      </c>
      <c r="F302" s="311">
        <v>45946</v>
      </c>
      <c r="G302" s="88"/>
      <c r="H302" s="258" t="s">
        <v>1392</v>
      </c>
      <c r="I302" s="700"/>
      <c r="J302" s="111"/>
      <c r="K302" s="246"/>
      <c r="L302" s="258" t="s">
        <v>1390</v>
      </c>
      <c r="M302" s="22" t="s">
        <v>73</v>
      </c>
      <c r="N302" s="22"/>
      <c r="O302" s="62"/>
      <c r="P302" s="62"/>
      <c r="Q302" s="270" t="s">
        <v>1380</v>
      </c>
      <c r="R302" s="88" t="s">
        <v>15</v>
      </c>
      <c r="S302" s="22">
        <v>1</v>
      </c>
      <c r="T302" s="22" t="s">
        <v>1406</v>
      </c>
      <c r="U302" s="121">
        <v>1</v>
      </c>
      <c r="V302" s="244"/>
      <c r="W302" s="277" t="s">
        <v>1409</v>
      </c>
      <c r="X302" s="22" t="s">
        <v>1410</v>
      </c>
      <c r="Y302" s="22">
        <v>123</v>
      </c>
      <c r="Z302" s="10" t="s">
        <v>427</v>
      </c>
    </row>
    <row r="303" spans="1:26" s="56" customFormat="1" ht="12" customHeight="1">
      <c r="A303" s="204" t="s">
        <v>1039</v>
      </c>
      <c r="B303" s="583">
        <v>45943</v>
      </c>
      <c r="C303" s="513" t="s">
        <v>1396</v>
      </c>
      <c r="D303" s="271"/>
      <c r="E303" s="16" t="s">
        <v>1411</v>
      </c>
      <c r="F303" s="283">
        <v>45950</v>
      </c>
      <c r="G303" s="66"/>
      <c r="H303" s="102" t="s">
        <v>1424</v>
      </c>
      <c r="I303" s="696"/>
      <c r="J303" s="57"/>
      <c r="K303" s="248"/>
      <c r="L303" s="102" t="s">
        <v>1397</v>
      </c>
      <c r="M303" s="16" t="s">
        <v>73</v>
      </c>
      <c r="N303" s="829"/>
      <c r="O303" s="56" t="s">
        <v>1424</v>
      </c>
      <c r="Q303" s="66" t="s">
        <v>15</v>
      </c>
      <c r="R303" s="66" t="s">
        <v>15</v>
      </c>
      <c r="S303" s="66" t="s">
        <v>15</v>
      </c>
      <c r="T303" s="66" t="s">
        <v>15</v>
      </c>
      <c r="U303" s="66" t="s">
        <v>15</v>
      </c>
      <c r="V303" s="204"/>
      <c r="W303" s="282"/>
      <c r="X303" s="16"/>
      <c r="Y303" s="16"/>
      <c r="Z303" s="6" t="s">
        <v>1040</v>
      </c>
    </row>
    <row r="304" spans="1:26" s="56" customFormat="1" ht="12" customHeight="1">
      <c r="A304" s="204" t="s">
        <v>443</v>
      </c>
      <c r="B304" s="583">
        <v>45943</v>
      </c>
      <c r="C304" s="513" t="s">
        <v>1399</v>
      </c>
      <c r="D304" s="16" t="s">
        <v>1411</v>
      </c>
      <c r="E304" s="16" t="s">
        <v>1411</v>
      </c>
      <c r="F304" s="283">
        <v>45946</v>
      </c>
      <c r="G304" s="16" t="s">
        <v>1411</v>
      </c>
      <c r="H304" s="102" t="s">
        <v>1412</v>
      </c>
      <c r="I304" s="58" t="s">
        <v>1411</v>
      </c>
      <c r="J304" s="57" t="s">
        <v>1411</v>
      </c>
      <c r="K304" s="16"/>
      <c r="L304" s="16" t="s">
        <v>1411</v>
      </c>
      <c r="M304" s="16" t="s">
        <v>73</v>
      </c>
      <c r="N304" s="829"/>
      <c r="O304" s="16" t="s">
        <v>1411</v>
      </c>
      <c r="P304" s="16"/>
      <c r="Q304" s="16" t="s">
        <v>1411</v>
      </c>
      <c r="R304" s="16" t="s">
        <v>1411</v>
      </c>
      <c r="S304" s="16" t="s">
        <v>1411</v>
      </c>
      <c r="T304" s="16" t="s">
        <v>1411</v>
      </c>
      <c r="U304" s="16" t="s">
        <v>1411</v>
      </c>
      <c r="V304" s="204"/>
      <c r="W304" s="16" t="s">
        <v>1411</v>
      </c>
      <c r="X304" s="16" t="s">
        <v>1411</v>
      </c>
      <c r="Y304" s="16" t="s">
        <v>1411</v>
      </c>
      <c r="Z304" s="679" t="s">
        <v>1411</v>
      </c>
    </row>
    <row r="305" spans="1:26" s="56" customFormat="1" ht="12.75" customHeight="1">
      <c r="A305" s="204" t="s">
        <v>443</v>
      </c>
      <c r="B305" s="583">
        <v>45943</v>
      </c>
      <c r="C305" s="513" t="s">
        <v>1401</v>
      </c>
      <c r="D305" s="271"/>
      <c r="E305" s="16" t="s">
        <v>45</v>
      </c>
      <c r="F305" s="283">
        <v>45946</v>
      </c>
      <c r="G305" s="199"/>
      <c r="I305" s="58"/>
      <c r="J305" s="57"/>
      <c r="K305" s="248"/>
      <c r="L305" s="102" t="s">
        <v>1402</v>
      </c>
      <c r="M305" s="16" t="s">
        <v>73</v>
      </c>
      <c r="N305" s="829"/>
      <c r="Q305" s="260" t="s">
        <v>1380</v>
      </c>
      <c r="R305" s="66" t="s">
        <v>15</v>
      </c>
      <c r="S305" s="16">
        <v>0.5</v>
      </c>
      <c r="T305" s="16">
        <v>349.92</v>
      </c>
      <c r="U305" s="112">
        <v>1</v>
      </c>
      <c r="V305" s="204"/>
      <c r="W305" s="282">
        <v>9</v>
      </c>
      <c r="X305" s="16">
        <v>38.880000000000003</v>
      </c>
      <c r="Y305" s="16">
        <v>428</v>
      </c>
      <c r="Z305" s="679" t="s">
        <v>279</v>
      </c>
    </row>
    <row r="306" spans="1:26" s="56" customFormat="1" ht="14.25" customHeight="1">
      <c r="A306" s="589" t="s">
        <v>865</v>
      </c>
      <c r="B306" s="583">
        <v>45944</v>
      </c>
      <c r="C306" s="513" t="s">
        <v>1403</v>
      </c>
      <c r="D306" s="60"/>
      <c r="E306" s="16" t="s">
        <v>45</v>
      </c>
      <c r="F306" s="283">
        <v>45946</v>
      </c>
      <c r="G306" s="199"/>
      <c r="H306" s="60" t="s">
        <v>1404</v>
      </c>
      <c r="I306" s="58"/>
      <c r="J306" s="57"/>
      <c r="K306" s="248"/>
      <c r="L306" s="102" t="s">
        <v>1405</v>
      </c>
      <c r="M306" s="16" t="s">
        <v>73</v>
      </c>
      <c r="N306" s="829"/>
      <c r="Q306" s="260" t="s">
        <v>1380</v>
      </c>
      <c r="R306" s="66" t="s">
        <v>15</v>
      </c>
      <c r="S306" s="16">
        <v>0.5</v>
      </c>
      <c r="T306" s="16">
        <v>75.45</v>
      </c>
      <c r="U306" s="112">
        <v>1</v>
      </c>
      <c r="V306" s="204"/>
      <c r="W306" s="282">
        <v>1</v>
      </c>
      <c r="X306" s="16">
        <v>75.45</v>
      </c>
      <c r="Y306" s="16">
        <v>154</v>
      </c>
      <c r="Z306" s="679" t="s">
        <v>868</v>
      </c>
    </row>
    <row r="307" spans="1:26" s="56" customFormat="1" ht="15" customHeight="1">
      <c r="A307" s="204" t="s">
        <v>842</v>
      </c>
      <c r="B307" s="583">
        <v>45947</v>
      </c>
      <c r="C307" s="60" t="s">
        <v>1414</v>
      </c>
      <c r="D307" s="58" t="s">
        <v>1091</v>
      </c>
      <c r="E307" s="16" t="s">
        <v>45</v>
      </c>
      <c r="F307" s="283">
        <v>45947</v>
      </c>
      <c r="G307" s="64" t="s">
        <v>848</v>
      </c>
      <c r="H307" s="56" t="s">
        <v>1415</v>
      </c>
      <c r="I307" s="58">
        <v>4544602112</v>
      </c>
      <c r="J307" s="57">
        <v>4547848892</v>
      </c>
      <c r="K307" s="16"/>
      <c r="L307" s="102" t="s">
        <v>1416</v>
      </c>
      <c r="M307" s="16" t="s">
        <v>73</v>
      </c>
      <c r="N307" s="829"/>
      <c r="Q307" s="66" t="s">
        <v>1327</v>
      </c>
      <c r="R307" s="66" t="s">
        <v>1327</v>
      </c>
      <c r="S307" s="16" t="s">
        <v>1327</v>
      </c>
      <c r="T307" s="16" t="s">
        <v>1327</v>
      </c>
      <c r="U307" s="16" t="s">
        <v>1327</v>
      </c>
      <c r="V307" s="204"/>
      <c r="W307" s="282">
        <v>2</v>
      </c>
      <c r="X307" s="16">
        <v>18.93</v>
      </c>
      <c r="Y307" s="16">
        <v>117</v>
      </c>
      <c r="Z307" s="679" t="s">
        <v>852</v>
      </c>
    </row>
    <row r="308" spans="1:26" s="56" customFormat="1" ht="14.25" customHeight="1">
      <c r="A308" s="244" t="s">
        <v>188</v>
      </c>
      <c r="B308" s="88">
        <v>45947</v>
      </c>
      <c r="C308" s="62" t="s">
        <v>1417</v>
      </c>
      <c r="D308" s="239"/>
      <c r="E308" s="22" t="s">
        <v>45</v>
      </c>
      <c r="F308" s="311">
        <v>45947</v>
      </c>
      <c r="G308" s="79" t="s">
        <v>583</v>
      </c>
      <c r="H308" s="62" t="s">
        <v>1418</v>
      </c>
      <c r="I308" s="96"/>
      <c r="J308" s="111">
        <v>4545494056</v>
      </c>
      <c r="K308" s="246"/>
      <c r="L308" s="247" t="s">
        <v>1419</v>
      </c>
      <c r="M308" s="22" t="s">
        <v>73</v>
      </c>
      <c r="N308" s="22"/>
      <c r="O308" s="62"/>
      <c r="P308" s="62"/>
      <c r="Q308" s="88" t="s">
        <v>1327</v>
      </c>
      <c r="R308" s="88" t="s">
        <v>1327</v>
      </c>
      <c r="S308" s="22" t="s">
        <v>1327</v>
      </c>
      <c r="T308" s="22" t="s">
        <v>1327</v>
      </c>
      <c r="U308" s="22" t="s">
        <v>1327</v>
      </c>
      <c r="V308" s="244"/>
      <c r="W308" s="277">
        <v>10</v>
      </c>
      <c r="X308" s="22">
        <v>52.19</v>
      </c>
      <c r="Y308" s="22">
        <v>600</v>
      </c>
      <c r="Z308" s="10" t="s">
        <v>122</v>
      </c>
    </row>
    <row r="309" spans="1:26" s="56" customFormat="1" ht="33" customHeight="1">
      <c r="A309" s="248" t="s">
        <v>1389</v>
      </c>
      <c r="B309" s="583">
        <v>45950</v>
      </c>
      <c r="C309" s="60" t="s">
        <v>1421</v>
      </c>
      <c r="E309" s="58" t="s">
        <v>45</v>
      </c>
      <c r="F309" s="366">
        <v>45971</v>
      </c>
      <c r="G309" s="199"/>
      <c r="H309" s="60" t="s">
        <v>1485</v>
      </c>
      <c r="I309" s="58"/>
      <c r="J309" s="839">
        <v>4548118093</v>
      </c>
      <c r="K309" s="248"/>
      <c r="L309" s="168" t="s">
        <v>1456</v>
      </c>
      <c r="M309" s="16" t="s">
        <v>73</v>
      </c>
      <c r="N309" s="829"/>
      <c r="O309" s="60"/>
      <c r="P309" s="60"/>
      <c r="Q309" s="260" t="s">
        <v>1380</v>
      </c>
      <c r="R309" s="66" t="s">
        <v>15</v>
      </c>
      <c r="S309" s="16">
        <v>0.5</v>
      </c>
      <c r="T309" s="16"/>
      <c r="U309" s="112">
        <v>1</v>
      </c>
      <c r="V309" s="248"/>
      <c r="W309" s="66" t="s">
        <v>1521</v>
      </c>
      <c r="X309" s="16" t="s">
        <v>1522</v>
      </c>
      <c r="Y309" s="16" t="s">
        <v>1523</v>
      </c>
      <c r="Z309" s="679" t="s">
        <v>427</v>
      </c>
    </row>
    <row r="310" spans="1:26" s="56" customFormat="1" ht="14.25" customHeight="1">
      <c r="A310" s="204" t="s">
        <v>1422</v>
      </c>
      <c r="B310" s="583">
        <v>45950</v>
      </c>
      <c r="C310" s="60" t="s">
        <v>1420</v>
      </c>
      <c r="D310" s="58" t="s">
        <v>480</v>
      </c>
      <c r="E310" s="16" t="s">
        <v>1466</v>
      </c>
      <c r="F310" s="283" t="s">
        <v>1467</v>
      </c>
      <c r="G310" s="199"/>
      <c r="H310" s="56" t="s">
        <v>1423</v>
      </c>
      <c r="I310" s="58"/>
      <c r="J310" s="359">
        <v>4547992145</v>
      </c>
      <c r="K310" s="350"/>
      <c r="L310" s="102"/>
      <c r="M310" s="16" t="s">
        <v>73</v>
      </c>
      <c r="N310" s="828">
        <v>30864</v>
      </c>
      <c r="O310" s="56" t="s">
        <v>1439</v>
      </c>
      <c r="Q310" s="260" t="s">
        <v>1380</v>
      </c>
      <c r="R310" s="66" t="s">
        <v>15</v>
      </c>
      <c r="S310" s="16">
        <v>2</v>
      </c>
      <c r="T310" s="16">
        <v>1027.0999999999999</v>
      </c>
      <c r="U310" s="112">
        <v>1</v>
      </c>
      <c r="V310" s="204"/>
      <c r="W310" s="66"/>
      <c r="Y310" s="58">
        <v>1106</v>
      </c>
      <c r="Z310" s="679" t="s">
        <v>1425</v>
      </c>
    </row>
    <row r="311" spans="1:26" s="56" customFormat="1" ht="14.25" customHeight="1">
      <c r="A311" s="204" t="s">
        <v>443</v>
      </c>
      <c r="B311" s="583">
        <v>45950</v>
      </c>
      <c r="C311" s="513" t="s">
        <v>1426</v>
      </c>
      <c r="D311" s="60"/>
      <c r="E311" s="16" t="s">
        <v>45</v>
      </c>
      <c r="F311" s="283">
        <v>45954</v>
      </c>
      <c r="G311" s="64" t="s">
        <v>848</v>
      </c>
      <c r="H311" s="168" t="s">
        <v>1427</v>
      </c>
      <c r="I311" s="58"/>
      <c r="J311" s="57">
        <v>4544558007</v>
      </c>
      <c r="K311" s="248"/>
      <c r="L311" s="102" t="s">
        <v>1442</v>
      </c>
      <c r="M311" s="16" t="s">
        <v>73</v>
      </c>
      <c r="N311" s="829"/>
      <c r="O311" s="56" t="s">
        <v>1441</v>
      </c>
      <c r="Q311" s="260" t="s">
        <v>1440</v>
      </c>
      <c r="R311" s="66"/>
      <c r="S311" s="16">
        <v>0.5</v>
      </c>
      <c r="T311" s="16">
        <v>5.54</v>
      </c>
      <c r="U311" s="112">
        <v>1</v>
      </c>
      <c r="V311" s="204"/>
      <c r="W311" s="282">
        <v>1</v>
      </c>
      <c r="X311" s="16">
        <v>5.57</v>
      </c>
      <c r="Y311" s="16">
        <v>84</v>
      </c>
      <c r="Z311" s="679" t="s">
        <v>279</v>
      </c>
    </row>
    <row r="312" spans="1:26" s="56" customFormat="1" ht="14.25" customHeight="1">
      <c r="A312" s="204" t="s">
        <v>1429</v>
      </c>
      <c r="B312" s="583">
        <v>45951</v>
      </c>
      <c r="C312" s="513" t="s">
        <v>1428</v>
      </c>
      <c r="D312" s="60"/>
      <c r="E312" s="16" t="s">
        <v>45</v>
      </c>
      <c r="F312" s="283">
        <v>45954</v>
      </c>
      <c r="G312" s="66" t="s">
        <v>583</v>
      </c>
      <c r="H312" s="168" t="s">
        <v>1430</v>
      </c>
      <c r="I312" s="58"/>
      <c r="J312" s="57">
        <v>4548030932</v>
      </c>
      <c r="K312" s="248"/>
      <c r="L312" s="102" t="s">
        <v>1431</v>
      </c>
      <c r="M312" s="16" t="s">
        <v>73</v>
      </c>
      <c r="N312" s="829" t="s">
        <v>15</v>
      </c>
      <c r="O312" s="56" t="s">
        <v>15</v>
      </c>
      <c r="P312" s="56" t="s">
        <v>15</v>
      </c>
      <c r="Q312" s="260" t="s">
        <v>1327</v>
      </c>
      <c r="R312" s="66" t="s">
        <v>15</v>
      </c>
      <c r="S312" s="16" t="s">
        <v>15</v>
      </c>
      <c r="T312" s="16" t="s">
        <v>15</v>
      </c>
      <c r="U312" s="16" t="s">
        <v>15</v>
      </c>
      <c r="V312" s="204"/>
      <c r="W312" s="66"/>
      <c r="Y312" s="16">
        <v>300</v>
      </c>
      <c r="Z312" s="679" t="s">
        <v>1443</v>
      </c>
    </row>
    <row r="313" spans="1:26" s="56" customFormat="1" ht="14.25" customHeight="1">
      <c r="A313" s="589" t="s">
        <v>865</v>
      </c>
      <c r="B313" s="583">
        <v>45951</v>
      </c>
      <c r="C313" s="513" t="s">
        <v>1433</v>
      </c>
      <c r="D313" s="16" t="s">
        <v>1411</v>
      </c>
      <c r="E313" s="16" t="s">
        <v>1411</v>
      </c>
      <c r="F313" s="16" t="s">
        <v>1411</v>
      </c>
      <c r="G313" s="16" t="s">
        <v>1411</v>
      </c>
      <c r="H313" s="168" t="s">
        <v>1432</v>
      </c>
      <c r="I313" s="58" t="s">
        <v>1424</v>
      </c>
      <c r="J313" s="57"/>
      <c r="K313" s="248"/>
      <c r="L313" s="102"/>
      <c r="M313" s="16" t="s">
        <v>73</v>
      </c>
      <c r="N313" s="829"/>
      <c r="Q313" s="260"/>
      <c r="R313" s="66"/>
      <c r="S313" s="16"/>
      <c r="T313" s="16"/>
      <c r="U313" s="16"/>
      <c r="V313" s="204"/>
      <c r="W313" s="66"/>
      <c r="Y313" s="16"/>
      <c r="Z313" s="679" t="s">
        <v>868</v>
      </c>
    </row>
    <row r="314" spans="1:26" s="56" customFormat="1" ht="14.25" customHeight="1">
      <c r="A314" s="204" t="s">
        <v>1429</v>
      </c>
      <c r="B314" s="583">
        <v>45952</v>
      </c>
      <c r="C314" s="513" t="s">
        <v>1434</v>
      </c>
      <c r="D314" s="58" t="s">
        <v>480</v>
      </c>
      <c r="E314" s="16" t="s">
        <v>45</v>
      </c>
      <c r="F314" s="283">
        <v>45961</v>
      </c>
      <c r="G314" s="199"/>
      <c r="H314" s="168" t="s">
        <v>1435</v>
      </c>
      <c r="I314" s="58"/>
      <c r="J314" s="364"/>
      <c r="K314" s="248"/>
      <c r="L314" s="102" t="s">
        <v>1436</v>
      </c>
      <c r="M314" s="16" t="s">
        <v>73</v>
      </c>
      <c r="N314" s="829"/>
      <c r="O314" s="56" t="s">
        <v>1457</v>
      </c>
      <c r="Q314" s="260" t="s">
        <v>1190</v>
      </c>
      <c r="R314" s="66" t="s">
        <v>15</v>
      </c>
      <c r="S314" s="16">
        <v>2</v>
      </c>
      <c r="T314" s="16">
        <f>12.02*14</f>
        <v>168.28</v>
      </c>
      <c r="U314" s="112">
        <v>1</v>
      </c>
      <c r="V314" s="204"/>
      <c r="W314" s="282">
        <v>14</v>
      </c>
      <c r="X314" s="16">
        <v>12.02</v>
      </c>
      <c r="Y314" s="16">
        <v>416</v>
      </c>
      <c r="Z314" s="679" t="s">
        <v>1443</v>
      </c>
    </row>
    <row r="315" spans="1:26" s="56" customFormat="1" ht="14.25" customHeight="1">
      <c r="A315" s="244" t="s">
        <v>842</v>
      </c>
      <c r="B315" s="88">
        <v>45952</v>
      </c>
      <c r="C315" s="239" t="s">
        <v>1437</v>
      </c>
      <c r="D315" s="96" t="s">
        <v>480</v>
      </c>
      <c r="E315" s="22" t="s">
        <v>923</v>
      </c>
      <c r="F315" s="311">
        <v>45964</v>
      </c>
      <c r="G315" s="88" t="s">
        <v>848</v>
      </c>
      <c r="H315" s="201" t="s">
        <v>1438</v>
      </c>
      <c r="I315" s="96"/>
      <c r="J315" s="847">
        <v>4546978358</v>
      </c>
      <c r="K315" s="246"/>
      <c r="L315" s="324" t="s">
        <v>1449</v>
      </c>
      <c r="M315" s="22" t="s">
        <v>73</v>
      </c>
      <c r="N315" s="22"/>
      <c r="O315" s="239" t="s">
        <v>1462</v>
      </c>
      <c r="P315" s="239"/>
      <c r="Q315" s="270" t="s">
        <v>1190</v>
      </c>
      <c r="R315" s="88" t="s">
        <v>15</v>
      </c>
      <c r="S315" s="22">
        <v>0.5</v>
      </c>
      <c r="T315" s="22">
        <f>6*9.6</f>
        <v>57.599999999999994</v>
      </c>
      <c r="U315" s="121">
        <v>1</v>
      </c>
      <c r="V315" s="244"/>
      <c r="W315" s="277">
        <v>6</v>
      </c>
      <c r="X315" s="22">
        <v>9.6</v>
      </c>
      <c r="Y315" s="22">
        <v>136</v>
      </c>
      <c r="Z315" s="62" t="s">
        <v>1075</v>
      </c>
    </row>
    <row r="316" spans="1:26" s="56" customFormat="1" ht="14.25" customHeight="1">
      <c r="A316" s="325" t="s">
        <v>865</v>
      </c>
      <c r="B316" s="100">
        <v>45957</v>
      </c>
      <c r="C316" s="326" t="s">
        <v>1445</v>
      </c>
      <c r="D316" s="61"/>
      <c r="E316" s="30" t="s">
        <v>45</v>
      </c>
      <c r="F316" s="327">
        <v>45964</v>
      </c>
      <c r="G316" s="958" t="s">
        <v>1465</v>
      </c>
      <c r="H316" s="328"/>
      <c r="I316" s="263"/>
      <c r="J316" s="114"/>
      <c r="K316" s="351"/>
      <c r="L316" s="330" t="s">
        <v>1447</v>
      </c>
      <c r="M316" s="30" t="s">
        <v>73</v>
      </c>
      <c r="N316" s="825"/>
      <c r="O316" s="61"/>
      <c r="P316" s="61"/>
      <c r="Q316" s="331" t="s">
        <v>1380</v>
      </c>
      <c r="R316" s="100" t="s">
        <v>15</v>
      </c>
      <c r="S316" s="30" t="s">
        <v>15</v>
      </c>
      <c r="T316" s="30" t="s">
        <v>15</v>
      </c>
      <c r="U316" s="30" t="s">
        <v>15</v>
      </c>
      <c r="V316" s="329"/>
      <c r="W316" s="332">
        <v>1</v>
      </c>
      <c r="X316" s="30">
        <v>58.7</v>
      </c>
      <c r="Y316" s="30">
        <v>137</v>
      </c>
      <c r="Z316" s="690" t="s">
        <v>868</v>
      </c>
    </row>
    <row r="317" spans="1:26" s="56" customFormat="1" ht="14.25" customHeight="1">
      <c r="A317" s="333" t="s">
        <v>865</v>
      </c>
      <c r="B317" s="88">
        <v>45957</v>
      </c>
      <c r="C317" s="334" t="s">
        <v>1446</v>
      </c>
      <c r="D317" s="62"/>
      <c r="E317" s="22" t="s">
        <v>45</v>
      </c>
      <c r="F317" s="335">
        <v>45964</v>
      </c>
      <c r="G317" s="959"/>
      <c r="H317" s="247"/>
      <c r="I317" s="96"/>
      <c r="J317" s="111"/>
      <c r="K317" s="246"/>
      <c r="L317" s="336" t="s">
        <v>1448</v>
      </c>
      <c r="M317" s="22" t="s">
        <v>73</v>
      </c>
      <c r="N317" s="835"/>
      <c r="O317" s="337"/>
      <c r="P317" s="337"/>
      <c r="Q317" s="270" t="s">
        <v>1380</v>
      </c>
      <c r="R317" s="88" t="s">
        <v>15</v>
      </c>
      <c r="S317" s="22" t="s">
        <v>15</v>
      </c>
      <c r="T317" s="22" t="s">
        <v>15</v>
      </c>
      <c r="U317" s="22" t="s">
        <v>15</v>
      </c>
      <c r="V317" s="244"/>
      <c r="W317" s="277">
        <v>1</v>
      </c>
      <c r="X317" s="22">
        <v>62.05</v>
      </c>
      <c r="Y317" s="22">
        <v>141</v>
      </c>
      <c r="Z317" s="338" t="s">
        <v>868</v>
      </c>
    </row>
    <row r="318" spans="1:26" s="56" customFormat="1" ht="13.95" customHeight="1">
      <c r="A318" s="329" t="s">
        <v>1470</v>
      </c>
      <c r="B318" s="100">
        <v>45959</v>
      </c>
      <c r="C318" s="61" t="s">
        <v>1444</v>
      </c>
      <c r="D318" s="382"/>
      <c r="E318" s="30" t="s">
        <v>45</v>
      </c>
      <c r="F318" s="383">
        <v>45992</v>
      </c>
      <c r="G318" s="384"/>
      <c r="H318" s="56" t="s">
        <v>1453</v>
      </c>
      <c r="I318" s="263"/>
      <c r="J318" s="114">
        <v>4548463929</v>
      </c>
      <c r="K318" s="248"/>
      <c r="L318" s="102"/>
      <c r="M318" s="16" t="s">
        <v>73</v>
      </c>
      <c r="N318" s="829" t="s">
        <v>15</v>
      </c>
      <c r="O318" s="56" t="s">
        <v>15</v>
      </c>
      <c r="P318" s="56" t="s">
        <v>15</v>
      </c>
      <c r="Q318" s="260" t="s">
        <v>1327</v>
      </c>
      <c r="R318" s="66" t="s">
        <v>15</v>
      </c>
      <c r="S318" s="16" t="s">
        <v>15</v>
      </c>
      <c r="T318" s="16" t="s">
        <v>15</v>
      </c>
      <c r="U318" s="16" t="s">
        <v>15</v>
      </c>
      <c r="V318" s="204"/>
      <c r="W318" s="66"/>
      <c r="Y318" s="16" t="s">
        <v>1634</v>
      </c>
      <c r="Z318" s="679" t="s">
        <v>1468</v>
      </c>
    </row>
    <row r="319" spans="1:26" s="312" customFormat="1" ht="34.5" customHeight="1">
      <c r="A319" s="650" t="s">
        <v>1469</v>
      </c>
      <c r="B319" s="307">
        <v>45959</v>
      </c>
      <c r="C319" s="651" t="s">
        <v>1473</v>
      </c>
      <c r="E319" s="127" t="s">
        <v>45</v>
      </c>
      <c r="F319" s="652">
        <v>45965</v>
      </c>
      <c r="G319" s="653"/>
      <c r="H319" s="312" t="s">
        <v>1450</v>
      </c>
      <c r="I319" s="133"/>
      <c r="J319" s="848">
        <v>4548267203</v>
      </c>
      <c r="K319" s="410"/>
      <c r="L319" s="312" t="s">
        <v>1474</v>
      </c>
      <c r="M319" s="127" t="s">
        <v>73</v>
      </c>
      <c r="N319" s="824"/>
      <c r="O319" s="312" t="s">
        <v>1475</v>
      </c>
      <c r="Q319" s="415" t="s">
        <v>1190</v>
      </c>
      <c r="R319" s="307" t="s">
        <v>15</v>
      </c>
      <c r="S319" s="127">
        <v>2</v>
      </c>
      <c r="T319" s="127">
        <v>40.799999999999997</v>
      </c>
      <c r="U319" s="129">
        <v>1</v>
      </c>
      <c r="V319" s="650"/>
      <c r="W319" s="654">
        <v>12</v>
      </c>
      <c r="X319" s="127">
        <v>6.8</v>
      </c>
      <c r="Y319" s="127">
        <v>287</v>
      </c>
      <c r="Z319" s="312" t="s">
        <v>1468</v>
      </c>
    </row>
    <row r="320" spans="1:26" s="56" customFormat="1" ht="14.25" customHeight="1">
      <c r="A320" s="204" t="s">
        <v>1469</v>
      </c>
      <c r="B320" s="583">
        <v>45959</v>
      </c>
      <c r="C320" s="340" t="s">
        <v>1451</v>
      </c>
      <c r="E320" s="16" t="s">
        <v>45</v>
      </c>
      <c r="F320" s="339">
        <v>45965</v>
      </c>
      <c r="G320" s="199"/>
      <c r="H320" s="56" t="s">
        <v>1450</v>
      </c>
      <c r="I320" s="58" t="s">
        <v>1424</v>
      </c>
      <c r="J320" s="57"/>
      <c r="K320" s="248"/>
      <c r="L320" s="102"/>
      <c r="M320" s="16" t="s">
        <v>73</v>
      </c>
      <c r="N320" s="829"/>
      <c r="O320" s="56" t="s">
        <v>1461</v>
      </c>
      <c r="Q320" s="260" t="s">
        <v>1190</v>
      </c>
      <c r="R320" s="66" t="s">
        <v>15</v>
      </c>
      <c r="S320" s="16" t="s">
        <v>15</v>
      </c>
      <c r="T320" s="16" t="s">
        <v>15</v>
      </c>
      <c r="U320" s="16" t="s">
        <v>15</v>
      </c>
      <c r="V320" s="204" t="s">
        <v>1476</v>
      </c>
      <c r="W320" s="66"/>
      <c r="Y320" s="16"/>
      <c r="Z320" s="679" t="s">
        <v>1468</v>
      </c>
    </row>
    <row r="321" spans="1:26" s="18" customFormat="1" ht="41.4">
      <c r="A321" s="139" t="s">
        <v>451</v>
      </c>
      <c r="B321" s="583">
        <v>45959</v>
      </c>
      <c r="C321" s="513">
        <v>400662734</v>
      </c>
      <c r="D321" s="56"/>
      <c r="E321" s="16" t="s">
        <v>45</v>
      </c>
      <c r="F321" s="339">
        <v>45964</v>
      </c>
      <c r="G321" s="199"/>
      <c r="H321" s="56" t="s">
        <v>1452</v>
      </c>
      <c r="I321" s="58"/>
      <c r="J321" s="57"/>
      <c r="K321" s="139"/>
      <c r="L321" s="139"/>
      <c r="M321" s="16" t="s">
        <v>73</v>
      </c>
      <c r="N321" s="829"/>
      <c r="O321" s="341" t="s">
        <v>1458</v>
      </c>
      <c r="P321" s="341"/>
      <c r="Q321" s="342" t="s">
        <v>1190</v>
      </c>
      <c r="R321" s="66" t="s">
        <v>15</v>
      </c>
      <c r="S321" s="16">
        <v>0.5</v>
      </c>
      <c r="T321" s="16">
        <f>31.57*5+107.71*5+7.28*5</f>
        <v>732.8</v>
      </c>
      <c r="U321" s="112">
        <v>1</v>
      </c>
      <c r="V321" s="139"/>
      <c r="W321" s="66" t="s">
        <v>1459</v>
      </c>
      <c r="X321" s="16" t="s">
        <v>1460</v>
      </c>
      <c r="Y321" s="16">
        <v>812</v>
      </c>
      <c r="Z321" s="343" t="s">
        <v>568</v>
      </c>
    </row>
    <row r="322" spans="1:26" s="18" customFormat="1" ht="28.8">
      <c r="A322" s="246" t="s">
        <v>865</v>
      </c>
      <c r="B322" s="88">
        <v>45959</v>
      </c>
      <c r="C322" s="239" t="s">
        <v>1454</v>
      </c>
      <c r="D322" s="239"/>
      <c r="E322" s="22" t="s">
        <v>45</v>
      </c>
      <c r="F322" s="335">
        <v>45964</v>
      </c>
      <c r="G322" s="201"/>
      <c r="H322" s="62" t="s">
        <v>1455</v>
      </c>
      <c r="I322" s="96"/>
      <c r="J322" s="374" t="s">
        <v>1505</v>
      </c>
      <c r="K322" s="246"/>
      <c r="L322" s="247"/>
      <c r="M322" s="22" t="s">
        <v>73</v>
      </c>
      <c r="N322" s="22"/>
      <c r="O322" s="62" t="s">
        <v>1463</v>
      </c>
      <c r="P322" s="62"/>
      <c r="Q322" s="270" t="s">
        <v>1190</v>
      </c>
      <c r="R322" s="88" t="s">
        <v>15</v>
      </c>
      <c r="S322" s="22">
        <v>1</v>
      </c>
      <c r="T322" s="22" t="s">
        <v>1464</v>
      </c>
      <c r="U322" s="121">
        <v>1</v>
      </c>
      <c r="V322" s="246"/>
      <c r="W322" s="88" t="s">
        <v>1471</v>
      </c>
      <c r="X322" s="22" t="s">
        <v>1472</v>
      </c>
      <c r="Y322" s="22">
        <v>112</v>
      </c>
      <c r="Z322" s="62" t="s">
        <v>868</v>
      </c>
    </row>
    <row r="323" spans="1:26" s="18" customFormat="1" ht="45" customHeight="1">
      <c r="A323" s="139" t="s">
        <v>1054</v>
      </c>
      <c r="B323" s="583">
        <v>45959</v>
      </c>
      <c r="C323" s="513" t="s">
        <v>1486</v>
      </c>
      <c r="D323" s="56"/>
      <c r="E323" s="16" t="s">
        <v>923</v>
      </c>
      <c r="F323" s="339">
        <v>45972</v>
      </c>
      <c r="G323" s="199"/>
      <c r="H323" s="56" t="s">
        <v>1488</v>
      </c>
      <c r="I323" s="58"/>
      <c r="J323" s="57"/>
      <c r="K323" s="139"/>
      <c r="L323" s="139"/>
      <c r="M323" s="16" t="s">
        <v>73</v>
      </c>
      <c r="N323" s="829" t="s">
        <v>15</v>
      </c>
      <c r="O323" s="341" t="s">
        <v>1520</v>
      </c>
      <c r="P323" s="341"/>
      <c r="Q323" s="342" t="s">
        <v>1380</v>
      </c>
      <c r="R323" s="66" t="s">
        <v>15</v>
      </c>
      <c r="S323" s="16">
        <v>5</v>
      </c>
      <c r="T323" s="16">
        <v>3958.98</v>
      </c>
      <c r="U323" s="112">
        <v>1</v>
      </c>
      <c r="V323" s="139"/>
      <c r="W323" s="66"/>
      <c r="Y323" s="16" t="s">
        <v>1535</v>
      </c>
      <c r="Z323" s="343" t="s">
        <v>1487</v>
      </c>
    </row>
    <row r="324" spans="1:26" s="11" customFormat="1" ht="14.7" customHeight="1">
      <c r="A324" s="204" t="s">
        <v>1478</v>
      </c>
      <c r="B324" s="583">
        <v>45965</v>
      </c>
      <c r="C324" s="513" t="s">
        <v>1477</v>
      </c>
      <c r="D324" s="60"/>
      <c r="E324" s="56"/>
      <c r="F324" s="204"/>
      <c r="G324" s="199"/>
      <c r="H324" s="56" t="s">
        <v>1571</v>
      </c>
      <c r="I324" s="58"/>
      <c r="J324" s="57"/>
      <c r="K324" s="248"/>
      <c r="L324" s="102" t="s">
        <v>1479</v>
      </c>
      <c r="M324" s="16" t="s">
        <v>73</v>
      </c>
      <c r="N324" s="829"/>
      <c r="O324" s="56"/>
      <c r="P324" s="56"/>
      <c r="Q324" s="260" t="s">
        <v>1380</v>
      </c>
      <c r="R324" s="66" t="s">
        <v>15</v>
      </c>
      <c r="S324" s="16">
        <v>0.5</v>
      </c>
      <c r="T324" s="16">
        <v>314.60000000000002</v>
      </c>
      <c r="U324" s="112">
        <v>1</v>
      </c>
      <c r="V324" s="204"/>
      <c r="W324" s="66"/>
      <c r="X324" s="56"/>
      <c r="Y324" s="16"/>
      <c r="Z324" s="679" t="s">
        <v>1480</v>
      </c>
    </row>
    <row r="325" spans="1:26" s="87" customFormat="1" ht="14.7" customHeight="1">
      <c r="A325" s="353" t="s">
        <v>184</v>
      </c>
      <c r="B325" s="318">
        <v>45965</v>
      </c>
      <c r="C325" s="21" t="s">
        <v>1481</v>
      </c>
      <c r="D325" s="86" t="s">
        <v>1489</v>
      </c>
      <c r="E325" s="21" t="s">
        <v>1490</v>
      </c>
      <c r="F325" s="353" t="s">
        <v>1491</v>
      </c>
      <c r="G325" s="354"/>
      <c r="H325" s="56" t="s">
        <v>1483</v>
      </c>
      <c r="I325" s="265">
        <v>4546105173</v>
      </c>
      <c r="J325" s="849"/>
      <c r="K325" s="355"/>
      <c r="L325" s="356" t="s">
        <v>1484</v>
      </c>
      <c r="M325" s="86" t="s">
        <v>73</v>
      </c>
      <c r="N325" s="86" t="s">
        <v>15</v>
      </c>
      <c r="O325" s="21" t="s">
        <v>15</v>
      </c>
      <c r="P325" s="21" t="s">
        <v>15</v>
      </c>
      <c r="Q325" s="357" t="s">
        <v>15</v>
      </c>
      <c r="R325" s="318" t="s">
        <v>15</v>
      </c>
      <c r="S325" s="86" t="s">
        <v>15</v>
      </c>
      <c r="T325" s="86" t="s">
        <v>15</v>
      </c>
      <c r="U325" s="86" t="s">
        <v>15</v>
      </c>
      <c r="V325" s="353"/>
      <c r="W325" s="318"/>
      <c r="X325" s="21"/>
      <c r="Y325" s="86"/>
      <c r="Z325" s="679" t="s">
        <v>122</v>
      </c>
    </row>
    <row r="326" spans="1:26" s="18" customFormat="1" ht="18.75" customHeight="1">
      <c r="A326" s="248" t="s">
        <v>1469</v>
      </c>
      <c r="B326" s="583">
        <v>45966</v>
      </c>
      <c r="C326" s="60" t="s">
        <v>1492</v>
      </c>
      <c r="D326" s="58"/>
      <c r="E326" s="16" t="s">
        <v>45</v>
      </c>
      <c r="F326" s="313">
        <v>45972</v>
      </c>
      <c r="G326" s="98" t="s">
        <v>583</v>
      </c>
      <c r="H326" s="56" t="s">
        <v>1493</v>
      </c>
      <c r="I326" s="58"/>
      <c r="J326" s="57"/>
      <c r="K326" s="248"/>
      <c r="L326" s="168"/>
      <c r="M326" s="16" t="s">
        <v>73</v>
      </c>
      <c r="N326" s="829"/>
      <c r="O326" s="56"/>
      <c r="P326" s="56"/>
      <c r="Q326" s="260" t="s">
        <v>1380</v>
      </c>
      <c r="R326" s="66" t="s">
        <v>15</v>
      </c>
      <c r="S326" s="16">
        <v>1</v>
      </c>
      <c r="T326" s="16">
        <v>375.2</v>
      </c>
      <c r="U326" s="112">
        <v>1</v>
      </c>
      <c r="V326" s="248"/>
      <c r="W326" s="66"/>
      <c r="X326" s="56"/>
      <c r="Y326" s="16"/>
      <c r="Z326" s="679" t="s">
        <v>1468</v>
      </c>
    </row>
    <row r="327" spans="1:26" s="11" customFormat="1" ht="14.7" customHeight="1">
      <c r="A327" s="204" t="s">
        <v>1284</v>
      </c>
      <c r="B327" s="583">
        <v>45966</v>
      </c>
      <c r="C327" s="60" t="s">
        <v>1494</v>
      </c>
      <c r="D327" s="58"/>
      <c r="E327" s="16" t="s">
        <v>45</v>
      </c>
      <c r="F327" s="313">
        <v>45972</v>
      </c>
      <c r="G327" s="66" t="s">
        <v>583</v>
      </c>
      <c r="H327" s="56" t="s">
        <v>1496</v>
      </c>
      <c r="I327" s="58"/>
      <c r="J327" s="57"/>
      <c r="K327" s="248"/>
      <c r="L327" s="102" t="s">
        <v>1495</v>
      </c>
      <c r="M327" s="16" t="s">
        <v>73</v>
      </c>
      <c r="N327" s="829"/>
      <c r="O327" s="56"/>
      <c r="P327" s="56"/>
      <c r="Q327" s="260" t="s">
        <v>1380</v>
      </c>
      <c r="R327" s="66" t="s">
        <v>15</v>
      </c>
      <c r="S327" s="16">
        <v>0.5</v>
      </c>
      <c r="T327" s="16">
        <v>47.88</v>
      </c>
      <c r="U327" s="112">
        <v>1</v>
      </c>
      <c r="V327" s="204"/>
      <c r="W327" s="282">
        <v>3</v>
      </c>
      <c r="X327" s="16">
        <v>15.96</v>
      </c>
      <c r="Y327" s="16" t="s">
        <v>1536</v>
      </c>
      <c r="Z327" s="679" t="s">
        <v>975</v>
      </c>
    </row>
    <row r="328" spans="1:26" s="11" customFormat="1" ht="14.7" customHeight="1">
      <c r="A328" s="204" t="s">
        <v>1284</v>
      </c>
      <c r="B328" s="583">
        <v>45966</v>
      </c>
      <c r="C328" s="513" t="s">
        <v>1497</v>
      </c>
      <c r="D328" s="58"/>
      <c r="E328" s="16" t="s">
        <v>45</v>
      </c>
      <c r="F328" s="313">
        <v>45972</v>
      </c>
      <c r="G328" s="66" t="s">
        <v>583</v>
      </c>
      <c r="H328" s="56" t="s">
        <v>1498</v>
      </c>
      <c r="I328" s="58"/>
      <c r="J328" s="57"/>
      <c r="K328" s="248"/>
      <c r="L328" s="102" t="s">
        <v>1499</v>
      </c>
      <c r="M328" s="16" t="s">
        <v>73</v>
      </c>
      <c r="N328" s="829"/>
      <c r="O328" s="56"/>
      <c r="P328" s="56"/>
      <c r="Q328" s="260" t="s">
        <v>1380</v>
      </c>
      <c r="R328" s="66" t="s">
        <v>15</v>
      </c>
      <c r="S328" s="16">
        <v>0.5</v>
      </c>
      <c r="T328" s="16">
        <v>14.84</v>
      </c>
      <c r="U328" s="112">
        <v>1</v>
      </c>
      <c r="V328" s="204"/>
      <c r="W328" s="282">
        <v>1</v>
      </c>
      <c r="X328" s="16">
        <v>14.84</v>
      </c>
      <c r="Y328" s="16">
        <v>93</v>
      </c>
      <c r="Z328" s="679" t="s">
        <v>975</v>
      </c>
    </row>
    <row r="329" spans="1:26" s="18" customFormat="1" ht="34.5" customHeight="1">
      <c r="A329" s="248" t="s">
        <v>443</v>
      </c>
      <c r="B329" s="583">
        <v>45966</v>
      </c>
      <c r="C329" s="248" t="s">
        <v>1500</v>
      </c>
      <c r="D329" s="58" t="s">
        <v>1538</v>
      </c>
      <c r="E329" s="16" t="s">
        <v>45</v>
      </c>
      <c r="F329" s="313">
        <v>45973</v>
      </c>
      <c r="G329" s="199"/>
      <c r="H329" s="168" t="s">
        <v>1501</v>
      </c>
      <c r="I329" s="235">
        <v>4547907895</v>
      </c>
      <c r="J329" s="839"/>
      <c r="K329" s="248"/>
      <c r="L329" s="305" t="s">
        <v>1546</v>
      </c>
      <c r="M329" s="16" t="s">
        <v>73</v>
      </c>
      <c r="N329" s="829"/>
      <c r="O329" s="56" t="s">
        <v>1537</v>
      </c>
      <c r="P329" s="56"/>
      <c r="Q329" s="260" t="s">
        <v>1380</v>
      </c>
      <c r="R329" s="66" t="s">
        <v>15</v>
      </c>
      <c r="S329" s="16">
        <v>0.5</v>
      </c>
      <c r="T329" s="16">
        <v>93.86</v>
      </c>
      <c r="U329" s="112">
        <v>1</v>
      </c>
      <c r="V329" s="256" t="s">
        <v>1543</v>
      </c>
      <c r="W329" s="282" t="s">
        <v>881</v>
      </c>
      <c r="X329" s="16" t="s">
        <v>1544</v>
      </c>
      <c r="Y329" s="16" t="s">
        <v>1545</v>
      </c>
      <c r="Z329" s="679" t="s">
        <v>279</v>
      </c>
    </row>
    <row r="330" spans="1:26" s="18" customFormat="1" ht="30" customHeight="1">
      <c r="A330" s="248" t="s">
        <v>443</v>
      </c>
      <c r="B330" s="583">
        <v>45966</v>
      </c>
      <c r="C330" s="248" t="s">
        <v>1502</v>
      </c>
      <c r="D330" s="58" t="s">
        <v>1538</v>
      </c>
      <c r="E330" s="16" t="s">
        <v>45</v>
      </c>
      <c r="F330" s="313">
        <v>45973</v>
      </c>
      <c r="G330" s="199"/>
      <c r="H330" s="168" t="s">
        <v>1503</v>
      </c>
      <c r="I330" s="235">
        <v>4547992145</v>
      </c>
      <c r="J330" s="839"/>
      <c r="K330" s="248"/>
      <c r="L330" s="168" t="s">
        <v>1504</v>
      </c>
      <c r="M330" s="16" t="s">
        <v>73</v>
      </c>
      <c r="N330" s="829"/>
      <c r="O330" s="56" t="s">
        <v>1537</v>
      </c>
      <c r="P330" s="56"/>
      <c r="Q330" s="260" t="s">
        <v>1380</v>
      </c>
      <c r="R330" s="66" t="s">
        <v>15</v>
      </c>
      <c r="S330" s="16">
        <v>0.5</v>
      </c>
      <c r="T330" s="16">
        <v>80.13</v>
      </c>
      <c r="U330" s="112">
        <v>1</v>
      </c>
      <c r="V330" s="248"/>
      <c r="W330" s="282" t="s">
        <v>881</v>
      </c>
      <c r="X330" s="16" t="s">
        <v>1547</v>
      </c>
      <c r="Y330" s="16" t="s">
        <v>1548</v>
      </c>
      <c r="Z330" s="679" t="s">
        <v>279</v>
      </c>
    </row>
    <row r="331" spans="1:26" s="11" customFormat="1" ht="14.7" customHeight="1">
      <c r="A331" s="204" t="s">
        <v>443</v>
      </c>
      <c r="B331" s="583">
        <v>45967</v>
      </c>
      <c r="C331" s="513" t="s">
        <v>1506</v>
      </c>
      <c r="D331" s="16" t="s">
        <v>1539</v>
      </c>
      <c r="E331" s="16" t="s">
        <v>1490</v>
      </c>
      <c r="F331" s="204" t="s">
        <v>1491</v>
      </c>
      <c r="G331" s="66" t="s">
        <v>848</v>
      </c>
      <c r="H331" s="102" t="s">
        <v>1507</v>
      </c>
      <c r="I331" s="696">
        <v>4542610530</v>
      </c>
      <c r="J331" s="57"/>
      <c r="K331" s="248"/>
      <c r="L331" s="102" t="s">
        <v>1525</v>
      </c>
      <c r="M331" s="16" t="s">
        <v>73</v>
      </c>
      <c r="N331" s="829"/>
      <c r="O331" s="56" t="s">
        <v>1489</v>
      </c>
      <c r="P331" s="56" t="s">
        <v>1489</v>
      </c>
      <c r="Q331" s="260" t="s">
        <v>1380</v>
      </c>
      <c r="R331" s="66" t="s">
        <v>15</v>
      </c>
      <c r="S331" s="16">
        <v>0.5</v>
      </c>
      <c r="T331" s="16">
        <v>128.46</v>
      </c>
      <c r="U331" s="112">
        <v>1</v>
      </c>
      <c r="V331" s="204" t="s">
        <v>1539</v>
      </c>
      <c r="W331" s="66"/>
      <c r="X331" s="56"/>
      <c r="Y331" s="16"/>
      <c r="Z331" s="679" t="s">
        <v>279</v>
      </c>
    </row>
    <row r="332" spans="1:26" s="16" customFormat="1" ht="33" customHeight="1">
      <c r="A332" s="373" t="s">
        <v>443</v>
      </c>
      <c r="B332" s="88">
        <v>45968</v>
      </c>
      <c r="C332" s="62" t="s">
        <v>1508</v>
      </c>
      <c r="D332" s="96"/>
      <c r="E332" s="22" t="s">
        <v>45</v>
      </c>
      <c r="F332" s="335">
        <v>45971</v>
      </c>
      <c r="G332" s="88"/>
      <c r="H332" s="375" t="s">
        <v>1514</v>
      </c>
      <c r="I332" s="697">
        <v>4544416844</v>
      </c>
      <c r="J332" s="96"/>
      <c r="K332" s="270"/>
      <c r="L332" s="137" t="s">
        <v>1516</v>
      </c>
      <c r="M332" s="22" t="s">
        <v>73</v>
      </c>
      <c r="N332" s="22" t="s">
        <v>1327</v>
      </c>
      <c r="O332" s="22" t="s">
        <v>1327</v>
      </c>
      <c r="P332" s="22"/>
      <c r="Q332" s="270" t="s">
        <v>1327</v>
      </c>
      <c r="R332" s="88" t="s">
        <v>1327</v>
      </c>
      <c r="S332" s="22" t="s">
        <v>1327</v>
      </c>
      <c r="T332" s="22" t="s">
        <v>1327</v>
      </c>
      <c r="U332" s="22" t="s">
        <v>1327</v>
      </c>
      <c r="V332" s="270" t="s">
        <v>1516</v>
      </c>
      <c r="W332" s="88" t="s">
        <v>1517</v>
      </c>
      <c r="X332" s="22" t="s">
        <v>1518</v>
      </c>
      <c r="Y332" s="22" t="s">
        <v>1519</v>
      </c>
      <c r="Z332" s="62" t="s">
        <v>279</v>
      </c>
    </row>
    <row r="333" spans="1:26" s="11" customFormat="1" ht="14.7" customHeight="1">
      <c r="A333" s="204" t="s">
        <v>1515</v>
      </c>
      <c r="B333" s="583">
        <v>45971</v>
      </c>
      <c r="C333" s="60" t="s">
        <v>1509</v>
      </c>
      <c r="D333" s="58"/>
      <c r="E333" s="16" t="s">
        <v>45</v>
      </c>
      <c r="F333" s="283">
        <v>45975</v>
      </c>
      <c r="G333" s="199"/>
      <c r="H333" s="56"/>
      <c r="I333" s="58"/>
      <c r="J333" s="57"/>
      <c r="K333" s="248"/>
      <c r="L333" s="102"/>
      <c r="M333" s="16" t="s">
        <v>73</v>
      </c>
      <c r="N333" s="829" t="s">
        <v>15</v>
      </c>
      <c r="O333" s="16" t="s">
        <v>15</v>
      </c>
      <c r="P333" s="16" t="s">
        <v>15</v>
      </c>
      <c r="Q333" s="260" t="s">
        <v>1380</v>
      </c>
      <c r="R333" s="16" t="s">
        <v>15</v>
      </c>
      <c r="S333" s="16">
        <v>0.5</v>
      </c>
      <c r="T333" s="16">
        <v>103.09</v>
      </c>
      <c r="U333" s="112">
        <v>1</v>
      </c>
      <c r="V333" s="204"/>
      <c r="W333" s="66" t="s">
        <v>1569</v>
      </c>
      <c r="X333" s="16" t="s">
        <v>1570</v>
      </c>
      <c r="Y333" s="16">
        <v>182</v>
      </c>
      <c r="Z333" s="679" t="s">
        <v>1443</v>
      </c>
    </row>
    <row r="334" spans="1:26" s="11" customFormat="1" ht="14.7" customHeight="1">
      <c r="A334" s="204" t="s">
        <v>1515</v>
      </c>
      <c r="B334" s="583">
        <v>45971</v>
      </c>
      <c r="C334" s="60" t="s">
        <v>1510</v>
      </c>
      <c r="D334" s="60"/>
      <c r="E334" s="16" t="s">
        <v>45</v>
      </c>
      <c r="F334" s="283">
        <v>45975</v>
      </c>
      <c r="G334" s="199"/>
      <c r="H334" s="56"/>
      <c r="I334" s="58"/>
      <c r="J334" s="57"/>
      <c r="K334" s="248"/>
      <c r="L334" s="102"/>
      <c r="M334" s="16" t="s">
        <v>73</v>
      </c>
      <c r="N334" s="829" t="s">
        <v>15</v>
      </c>
      <c r="O334" s="16" t="s">
        <v>15</v>
      </c>
      <c r="P334" s="16" t="s">
        <v>15</v>
      </c>
      <c r="Q334" s="260" t="s">
        <v>1380</v>
      </c>
      <c r="R334" s="16" t="s">
        <v>15</v>
      </c>
      <c r="S334" s="16">
        <v>0.5</v>
      </c>
      <c r="T334" s="16">
        <v>103.09</v>
      </c>
      <c r="U334" s="112">
        <v>1</v>
      </c>
      <c r="V334" s="204"/>
      <c r="W334" s="66" t="s">
        <v>1569</v>
      </c>
      <c r="X334" s="16" t="s">
        <v>1570</v>
      </c>
      <c r="Y334" s="16">
        <v>182</v>
      </c>
      <c r="Z334" s="679" t="s">
        <v>1443</v>
      </c>
    </row>
    <row r="335" spans="1:26" s="11" customFormat="1" ht="14.7" customHeight="1">
      <c r="A335" s="204" t="s">
        <v>1469</v>
      </c>
      <c r="B335" s="583">
        <v>45971</v>
      </c>
      <c r="C335" s="168" t="s">
        <v>1512</v>
      </c>
      <c r="D335" s="58" t="s">
        <v>454</v>
      </c>
      <c r="E335" s="16" t="s">
        <v>45</v>
      </c>
      <c r="F335" s="283">
        <v>45974</v>
      </c>
      <c r="G335" s="199"/>
      <c r="H335" s="56" t="s">
        <v>1511</v>
      </c>
      <c r="I335" s="58"/>
      <c r="J335" s="57"/>
      <c r="K335" s="248"/>
      <c r="L335" s="102"/>
      <c r="M335" s="16" t="s">
        <v>73</v>
      </c>
      <c r="N335" s="829" t="s">
        <v>15</v>
      </c>
      <c r="O335" s="56" t="s">
        <v>1560</v>
      </c>
      <c r="P335" s="16" t="s">
        <v>15</v>
      </c>
      <c r="Q335" s="260" t="s">
        <v>1380</v>
      </c>
      <c r="R335" s="16" t="s">
        <v>15</v>
      </c>
      <c r="S335" s="16" t="s">
        <v>15</v>
      </c>
      <c r="T335" s="16" t="s">
        <v>15</v>
      </c>
      <c r="U335" s="16" t="s">
        <v>15</v>
      </c>
      <c r="V335" s="204"/>
      <c r="W335" s="66"/>
      <c r="X335" s="56"/>
      <c r="Y335" s="16"/>
      <c r="Z335" s="679" t="s">
        <v>1468</v>
      </c>
    </row>
    <row r="336" spans="1:26" s="11" customFormat="1" ht="14.7" customHeight="1">
      <c r="A336" s="204" t="s">
        <v>1469</v>
      </c>
      <c r="B336" s="583">
        <v>45971</v>
      </c>
      <c r="C336" s="168" t="s">
        <v>1513</v>
      </c>
      <c r="D336" s="58" t="s">
        <v>454</v>
      </c>
      <c r="E336" s="16" t="s">
        <v>45</v>
      </c>
      <c r="F336" s="283">
        <v>45974</v>
      </c>
      <c r="G336" s="199"/>
      <c r="H336" s="56" t="s">
        <v>1511</v>
      </c>
      <c r="I336" s="58"/>
      <c r="J336" s="57"/>
      <c r="K336" s="248"/>
      <c r="L336" s="102"/>
      <c r="M336" s="16" t="s">
        <v>73</v>
      </c>
      <c r="N336" s="829" t="s">
        <v>15</v>
      </c>
      <c r="O336" s="56" t="s">
        <v>1560</v>
      </c>
      <c r="P336" s="16" t="s">
        <v>15</v>
      </c>
      <c r="Q336" s="260" t="s">
        <v>1380</v>
      </c>
      <c r="R336" s="16" t="s">
        <v>15</v>
      </c>
      <c r="S336" s="16" t="s">
        <v>15</v>
      </c>
      <c r="T336" s="16" t="s">
        <v>15</v>
      </c>
      <c r="U336" s="16" t="s">
        <v>15</v>
      </c>
      <c r="V336" s="204"/>
      <c r="W336" s="66"/>
      <c r="X336" s="56"/>
      <c r="Y336" s="16"/>
      <c r="Z336" s="679" t="s">
        <v>1468</v>
      </c>
    </row>
    <row r="337" spans="1:26" s="18" customFormat="1" ht="24" customHeight="1">
      <c r="A337" s="248" t="s">
        <v>1531</v>
      </c>
      <c r="B337" s="583">
        <v>45971</v>
      </c>
      <c r="C337" s="513" t="s">
        <v>1524</v>
      </c>
      <c r="D337" s="58" t="s">
        <v>1083</v>
      </c>
      <c r="E337" s="16" t="s">
        <v>45</v>
      </c>
      <c r="F337" s="313">
        <v>45975</v>
      </c>
      <c r="G337" s="199"/>
      <c r="H337" s="56"/>
      <c r="I337" s="58"/>
      <c r="J337" s="839">
        <v>4548541242</v>
      </c>
      <c r="K337" s="248"/>
      <c r="L337" s="168"/>
      <c r="M337" s="16" t="s">
        <v>73</v>
      </c>
      <c r="N337" s="829" t="s">
        <v>15</v>
      </c>
      <c r="O337" s="16" t="s">
        <v>15</v>
      </c>
      <c r="P337" s="16" t="s">
        <v>15</v>
      </c>
      <c r="Q337" s="260" t="s">
        <v>1380</v>
      </c>
      <c r="R337" s="16" t="s">
        <v>15</v>
      </c>
      <c r="S337" s="16">
        <v>0.5</v>
      </c>
      <c r="T337" s="16">
        <v>73.790000000000006</v>
      </c>
      <c r="U337" s="112">
        <v>1</v>
      </c>
      <c r="V337" s="248"/>
      <c r="W337" s="66" t="s">
        <v>1564</v>
      </c>
      <c r="X337" s="16" t="s">
        <v>1565</v>
      </c>
      <c r="Y337" s="16" t="s">
        <v>1566</v>
      </c>
      <c r="Z337" s="679" t="s">
        <v>1549</v>
      </c>
    </row>
    <row r="338" spans="1:26" s="18" customFormat="1" ht="29.25" customHeight="1">
      <c r="A338" s="248" t="s">
        <v>1312</v>
      </c>
      <c r="B338" s="583">
        <v>45971</v>
      </c>
      <c r="C338" s="18" t="s">
        <v>1526</v>
      </c>
      <c r="D338" s="58" t="s">
        <v>1091</v>
      </c>
      <c r="E338" s="16" t="s">
        <v>45</v>
      </c>
      <c r="F338" s="313">
        <v>45972</v>
      </c>
      <c r="G338" s="66" t="s">
        <v>848</v>
      </c>
      <c r="H338" s="18" t="s">
        <v>1527</v>
      </c>
      <c r="I338" s="58">
        <v>454229508</v>
      </c>
      <c r="J338" s="130"/>
      <c r="K338" s="248"/>
      <c r="L338" s="254" t="s">
        <v>1528</v>
      </c>
      <c r="M338" s="16" t="s">
        <v>73</v>
      </c>
      <c r="N338" s="829" t="s">
        <v>15</v>
      </c>
      <c r="O338" s="16" t="s">
        <v>15</v>
      </c>
      <c r="P338" s="16" t="s">
        <v>15</v>
      </c>
      <c r="Q338" s="260" t="s">
        <v>1327</v>
      </c>
      <c r="R338" s="66" t="s">
        <v>1327</v>
      </c>
      <c r="S338" s="16" t="s">
        <v>1327</v>
      </c>
      <c r="T338" s="16" t="s">
        <v>1327</v>
      </c>
      <c r="U338" s="16" t="s">
        <v>1327</v>
      </c>
      <c r="V338" s="248"/>
      <c r="W338" s="66" t="s">
        <v>1532</v>
      </c>
      <c r="X338" s="18" t="s">
        <v>1533</v>
      </c>
      <c r="Y338" s="16" t="s">
        <v>1534</v>
      </c>
      <c r="Z338" s="679" t="s">
        <v>852</v>
      </c>
    </row>
    <row r="339" spans="1:26" s="18" customFormat="1" ht="29.25" customHeight="1">
      <c r="A339" s="248" t="s">
        <v>1531</v>
      </c>
      <c r="B339" s="583">
        <v>45971</v>
      </c>
      <c r="C339" s="513" t="s">
        <v>1529</v>
      </c>
      <c r="D339" s="58" t="s">
        <v>1083</v>
      </c>
      <c r="E339" s="16" t="s">
        <v>45</v>
      </c>
      <c r="F339" s="313">
        <v>45975</v>
      </c>
      <c r="G339" s="199"/>
      <c r="H339" s="56" t="s">
        <v>1553</v>
      </c>
      <c r="I339" s="58"/>
      <c r="J339" s="839">
        <v>4548418825</v>
      </c>
      <c r="K339" s="248"/>
      <c r="L339" s="168"/>
      <c r="M339" s="16" t="s">
        <v>73</v>
      </c>
      <c r="N339" s="829" t="s">
        <v>15</v>
      </c>
      <c r="O339" s="16" t="s">
        <v>15</v>
      </c>
      <c r="P339" s="16" t="s">
        <v>15</v>
      </c>
      <c r="Q339" s="260" t="s">
        <v>1380</v>
      </c>
      <c r="R339" s="16" t="s">
        <v>15</v>
      </c>
      <c r="S339" s="16">
        <v>0.5</v>
      </c>
      <c r="T339" s="16">
        <v>124.21</v>
      </c>
      <c r="U339" s="112">
        <v>1</v>
      </c>
      <c r="V339" s="248"/>
      <c r="W339" s="66" t="s">
        <v>1561</v>
      </c>
      <c r="X339" s="16" t="s">
        <v>1562</v>
      </c>
      <c r="Y339" s="16" t="s">
        <v>1563</v>
      </c>
      <c r="Z339" s="679" t="s">
        <v>1549</v>
      </c>
    </row>
    <row r="340" spans="1:26" s="11" customFormat="1" ht="25.5" customHeight="1">
      <c r="A340" s="204" t="s">
        <v>1542</v>
      </c>
      <c r="B340" s="583">
        <v>45973</v>
      </c>
      <c r="C340" s="513" t="s">
        <v>1541</v>
      </c>
      <c r="D340" s="58" t="s">
        <v>915</v>
      </c>
      <c r="E340" s="16" t="s">
        <v>45</v>
      </c>
      <c r="F340" s="313">
        <v>45981</v>
      </c>
      <c r="G340" s="66" t="s">
        <v>1584</v>
      </c>
      <c r="H340" s="56" t="s">
        <v>1540</v>
      </c>
      <c r="I340" s="58"/>
      <c r="J340" s="57"/>
      <c r="K340" s="248"/>
      <c r="L340" s="102"/>
      <c r="M340" s="16" t="s">
        <v>73</v>
      </c>
      <c r="N340" s="829" t="s">
        <v>15</v>
      </c>
      <c r="O340" s="56" t="s">
        <v>1560</v>
      </c>
      <c r="P340" s="16" t="s">
        <v>15</v>
      </c>
      <c r="Q340" s="260" t="s">
        <v>1380</v>
      </c>
      <c r="R340" s="66" t="s">
        <v>15</v>
      </c>
      <c r="S340" s="16">
        <v>0.5</v>
      </c>
      <c r="T340" s="16" t="s">
        <v>15</v>
      </c>
      <c r="U340" s="112">
        <v>1</v>
      </c>
      <c r="V340" s="204"/>
      <c r="W340" s="16" t="s">
        <v>1560</v>
      </c>
      <c r="X340" s="56" t="s">
        <v>1560</v>
      </c>
      <c r="Y340" s="56" t="s">
        <v>1560</v>
      </c>
      <c r="Z340" s="679" t="s">
        <v>822</v>
      </c>
    </row>
    <row r="341" spans="1:26" s="56" customFormat="1" ht="23.25" customHeight="1">
      <c r="A341" s="245" t="s">
        <v>443</v>
      </c>
      <c r="B341" s="583">
        <v>45973</v>
      </c>
      <c r="C341" s="513" t="s">
        <v>1550</v>
      </c>
      <c r="D341" s="60"/>
      <c r="E341" s="16" t="s">
        <v>45</v>
      </c>
      <c r="F341" s="313">
        <v>45974</v>
      </c>
      <c r="G341" s="66" t="s">
        <v>848</v>
      </c>
      <c r="H341" s="305" t="s">
        <v>1551</v>
      </c>
      <c r="I341" s="235">
        <v>4543468717</v>
      </c>
      <c r="J341" s="839">
        <v>4548410848</v>
      </c>
      <c r="K341" s="245"/>
      <c r="L341" s="305"/>
      <c r="M341" s="16" t="s">
        <v>73</v>
      </c>
      <c r="N341" s="829" t="s">
        <v>15</v>
      </c>
      <c r="O341" s="16" t="s">
        <v>15</v>
      </c>
      <c r="P341" s="16" t="s">
        <v>15</v>
      </c>
      <c r="Q341" s="260" t="s">
        <v>1327</v>
      </c>
      <c r="R341" s="66" t="s">
        <v>1327</v>
      </c>
      <c r="S341" s="16" t="s">
        <v>1327</v>
      </c>
      <c r="T341" s="16" t="s">
        <v>1327</v>
      </c>
      <c r="U341" s="16" t="s">
        <v>1327</v>
      </c>
      <c r="V341" s="245"/>
      <c r="W341" s="66" t="s">
        <v>1552</v>
      </c>
      <c r="X341" s="56" t="s">
        <v>1559</v>
      </c>
      <c r="Y341" s="16" t="s">
        <v>1558</v>
      </c>
      <c r="Z341" s="679" t="s">
        <v>279</v>
      </c>
    </row>
    <row r="342" spans="1:26" s="56" customFormat="1" ht="14.25" customHeight="1">
      <c r="A342" s="204" t="s">
        <v>1469</v>
      </c>
      <c r="B342" s="583">
        <v>45974</v>
      </c>
      <c r="C342" s="168" t="s">
        <v>1556</v>
      </c>
      <c r="D342" s="60"/>
      <c r="E342" s="16" t="s">
        <v>1588</v>
      </c>
      <c r="F342" s="313">
        <v>45981</v>
      </c>
      <c r="G342" s="66" t="s">
        <v>1597</v>
      </c>
      <c r="H342" s="240" t="s">
        <v>1593</v>
      </c>
      <c r="I342" s="235"/>
      <c r="J342" s="839">
        <v>4548463926</v>
      </c>
      <c r="K342" s="245"/>
      <c r="L342" s="305"/>
      <c r="M342" s="16" t="s">
        <v>73</v>
      </c>
      <c r="N342" s="829" t="s">
        <v>15</v>
      </c>
      <c r="O342" s="16" t="s">
        <v>15</v>
      </c>
      <c r="P342" s="16" t="s">
        <v>15</v>
      </c>
      <c r="Q342" s="260" t="s">
        <v>1380</v>
      </c>
      <c r="R342" s="66" t="s">
        <v>15</v>
      </c>
      <c r="S342" s="16">
        <v>0.1</v>
      </c>
      <c r="T342" s="16" t="s">
        <v>15</v>
      </c>
      <c r="U342" s="112">
        <v>1</v>
      </c>
      <c r="V342" s="245"/>
      <c r="W342" s="66"/>
      <c r="Y342" s="16"/>
      <c r="Z342" s="679" t="s">
        <v>1468</v>
      </c>
    </row>
    <row r="343" spans="1:26" s="56" customFormat="1" ht="14.25" customHeight="1">
      <c r="A343" s="204" t="s">
        <v>1469</v>
      </c>
      <c r="B343" s="583">
        <v>45974</v>
      </c>
      <c r="C343" s="168" t="s">
        <v>1557</v>
      </c>
      <c r="D343" s="60"/>
      <c r="E343" s="16" t="s">
        <v>1588</v>
      </c>
      <c r="F343" s="313">
        <v>45981</v>
      </c>
      <c r="G343" s="66" t="s">
        <v>1597</v>
      </c>
      <c r="H343" s="240" t="s">
        <v>1594</v>
      </c>
      <c r="I343" s="235"/>
      <c r="J343" s="839">
        <v>4548464071</v>
      </c>
      <c r="K343" s="245"/>
      <c r="L343" s="305"/>
      <c r="M343" s="16" t="s">
        <v>73</v>
      </c>
      <c r="N343" s="829" t="s">
        <v>15</v>
      </c>
      <c r="O343" s="16" t="s">
        <v>15</v>
      </c>
      <c r="P343" s="16" t="s">
        <v>15</v>
      </c>
      <c r="Q343" s="260" t="s">
        <v>1380</v>
      </c>
      <c r="R343" s="66" t="s">
        <v>15</v>
      </c>
      <c r="S343" s="16">
        <v>0.1</v>
      </c>
      <c r="T343" s="16" t="s">
        <v>15</v>
      </c>
      <c r="U343" s="112">
        <v>1</v>
      </c>
      <c r="V343" s="245"/>
      <c r="W343" s="66"/>
      <c r="Z343" s="679" t="s">
        <v>1468</v>
      </c>
    </row>
    <row r="344" spans="1:26" s="56" customFormat="1" ht="14.25" customHeight="1">
      <c r="A344" s="204" t="s">
        <v>1469</v>
      </c>
      <c r="B344" s="583">
        <v>45974</v>
      </c>
      <c r="C344" s="168" t="s">
        <v>1554</v>
      </c>
      <c r="D344" s="60"/>
      <c r="E344" s="16" t="s">
        <v>1588</v>
      </c>
      <c r="F344" s="313">
        <v>45981</v>
      </c>
      <c r="G344" s="66" t="s">
        <v>1597</v>
      </c>
      <c r="H344" s="240" t="s">
        <v>1595</v>
      </c>
      <c r="I344" s="235"/>
      <c r="J344" s="839">
        <v>4548464076</v>
      </c>
      <c r="K344" s="245"/>
      <c r="L344" s="305"/>
      <c r="M344" s="16" t="s">
        <v>73</v>
      </c>
      <c r="N344" s="829" t="s">
        <v>15</v>
      </c>
      <c r="O344" s="16" t="s">
        <v>15</v>
      </c>
      <c r="P344" s="16" t="s">
        <v>15</v>
      </c>
      <c r="Q344" s="260" t="s">
        <v>1380</v>
      </c>
      <c r="R344" s="66" t="s">
        <v>15</v>
      </c>
      <c r="S344" s="16">
        <v>0.1</v>
      </c>
      <c r="T344" s="16" t="s">
        <v>15</v>
      </c>
      <c r="U344" s="112">
        <v>1</v>
      </c>
      <c r="V344" s="245"/>
      <c r="W344" s="66"/>
      <c r="Z344" s="679" t="s">
        <v>1468</v>
      </c>
    </row>
    <row r="345" spans="1:26" s="56" customFormat="1" ht="13.5" customHeight="1">
      <c r="A345" s="204" t="s">
        <v>1469</v>
      </c>
      <c r="B345" s="583">
        <v>45974</v>
      </c>
      <c r="C345" s="168" t="s">
        <v>1555</v>
      </c>
      <c r="D345" s="60"/>
      <c r="E345" s="16" t="s">
        <v>1588</v>
      </c>
      <c r="F345" s="313">
        <v>45981</v>
      </c>
      <c r="G345" s="66" t="s">
        <v>1598</v>
      </c>
      <c r="H345" s="240" t="s">
        <v>1596</v>
      </c>
      <c r="I345" s="235"/>
      <c r="J345" s="839">
        <v>4548464072</v>
      </c>
      <c r="K345" s="245"/>
      <c r="L345" s="305"/>
      <c r="M345" s="16" t="s">
        <v>73</v>
      </c>
      <c r="N345" s="829" t="s">
        <v>15</v>
      </c>
      <c r="O345" s="16" t="s">
        <v>15</v>
      </c>
      <c r="P345" s="16" t="s">
        <v>15</v>
      </c>
      <c r="Q345" s="260" t="s">
        <v>1380</v>
      </c>
      <c r="R345" s="66" t="s">
        <v>15</v>
      </c>
      <c r="S345" s="16">
        <v>0.1</v>
      </c>
      <c r="T345" s="16" t="s">
        <v>15</v>
      </c>
      <c r="U345" s="112">
        <v>1</v>
      </c>
      <c r="V345" s="245"/>
      <c r="W345" s="66"/>
      <c r="Z345" s="679" t="s">
        <v>1468</v>
      </c>
    </row>
    <row r="346" spans="1:26" s="56" customFormat="1" ht="30" customHeight="1">
      <c r="A346" s="246" t="s">
        <v>1312</v>
      </c>
      <c r="B346" s="88">
        <v>45975</v>
      </c>
      <c r="C346" s="62" t="s">
        <v>1567</v>
      </c>
      <c r="D346" s="239"/>
      <c r="E346" s="22" t="s">
        <v>1588</v>
      </c>
      <c r="F346" s="377">
        <v>45981</v>
      </c>
      <c r="G346" s="88"/>
      <c r="H346" s="171" t="s">
        <v>1568</v>
      </c>
      <c r="I346" s="703">
        <v>4545198743</v>
      </c>
      <c r="J346" s="96"/>
      <c r="K346" s="373"/>
      <c r="L346" s="406" t="s">
        <v>1694</v>
      </c>
      <c r="M346" s="22" t="s">
        <v>73</v>
      </c>
      <c r="N346" s="22" t="s">
        <v>15</v>
      </c>
      <c r="O346" s="22" t="s">
        <v>15</v>
      </c>
      <c r="P346" s="22" t="s">
        <v>15</v>
      </c>
      <c r="Q346" s="270" t="s">
        <v>1380</v>
      </c>
      <c r="R346" s="88" t="s">
        <v>15</v>
      </c>
      <c r="S346" s="22">
        <v>0.5</v>
      </c>
      <c r="T346" s="22" t="s">
        <v>15</v>
      </c>
      <c r="U346" s="121">
        <v>1</v>
      </c>
      <c r="V346" s="373"/>
      <c r="W346" s="88" t="s">
        <v>1585</v>
      </c>
      <c r="X346" s="22" t="s">
        <v>1586</v>
      </c>
      <c r="Y346" s="22" t="s">
        <v>1587</v>
      </c>
      <c r="Z346" s="62" t="s">
        <v>852</v>
      </c>
    </row>
    <row r="347" spans="1:26" s="56" customFormat="1" ht="14.25" customHeight="1">
      <c r="A347" s="204" t="s">
        <v>188</v>
      </c>
      <c r="B347" s="583">
        <v>45979</v>
      </c>
      <c r="C347" s="513" t="s">
        <v>1572</v>
      </c>
      <c r="D347" s="60"/>
      <c r="E347" s="16" t="s">
        <v>1588</v>
      </c>
      <c r="F347" s="313">
        <v>45981</v>
      </c>
      <c r="G347" s="66"/>
      <c r="H347" s="13" t="s">
        <v>1573</v>
      </c>
      <c r="I347" s="704">
        <v>4545314665</v>
      </c>
      <c r="J347" s="60"/>
      <c r="K347" s="245"/>
      <c r="L347" s="407" t="s">
        <v>1576</v>
      </c>
      <c r="M347" s="16" t="s">
        <v>73</v>
      </c>
      <c r="N347" s="829" t="s">
        <v>15</v>
      </c>
      <c r="O347" s="56" t="s">
        <v>15</v>
      </c>
      <c r="P347" s="56" t="s">
        <v>15</v>
      </c>
      <c r="Q347" s="260" t="s">
        <v>1327</v>
      </c>
      <c r="R347" s="66" t="s">
        <v>15</v>
      </c>
      <c r="S347" s="16" t="s">
        <v>15</v>
      </c>
      <c r="T347" s="16" t="s">
        <v>15</v>
      </c>
      <c r="U347" s="16" t="s">
        <v>15</v>
      </c>
      <c r="V347" s="245"/>
      <c r="W347" s="282">
        <v>19</v>
      </c>
      <c r="X347" s="16">
        <v>69.41</v>
      </c>
      <c r="Y347" s="16">
        <v>1397</v>
      </c>
      <c r="Z347" s="679" t="s">
        <v>122</v>
      </c>
    </row>
    <row r="348" spans="1:26" s="56" customFormat="1" ht="32.25" customHeight="1">
      <c r="A348" s="410" t="s">
        <v>1606</v>
      </c>
      <c r="B348" s="307">
        <v>45979</v>
      </c>
      <c r="C348" s="312" t="s">
        <v>1617</v>
      </c>
      <c r="D348" s="411"/>
      <c r="E348" s="924" t="s">
        <v>45</v>
      </c>
      <c r="F348" s="925">
        <v>45985</v>
      </c>
      <c r="G348" s="307"/>
      <c r="H348" s="413" t="s">
        <v>1618</v>
      </c>
      <c r="I348" s="707"/>
      <c r="J348" s="411"/>
      <c r="K348" s="412"/>
      <c r="L348" s="927"/>
      <c r="M348" s="924" t="s">
        <v>73</v>
      </c>
      <c r="N348" s="924" t="s">
        <v>15</v>
      </c>
      <c r="O348" s="312" t="s">
        <v>15</v>
      </c>
      <c r="P348" s="312" t="s">
        <v>15</v>
      </c>
      <c r="Q348" s="415" t="s">
        <v>1327</v>
      </c>
      <c r="R348" s="307" t="s">
        <v>15</v>
      </c>
      <c r="S348" s="924" t="s">
        <v>15</v>
      </c>
      <c r="T348" s="924" t="s">
        <v>15</v>
      </c>
      <c r="U348" s="924" t="s">
        <v>15</v>
      </c>
      <c r="V348" s="412"/>
      <c r="W348" s="654"/>
      <c r="X348" s="924"/>
      <c r="Y348" s="928">
        <v>1250</v>
      </c>
      <c r="Z348" s="312" t="s">
        <v>1605</v>
      </c>
    </row>
    <row r="349" spans="1:26" s="56" customFormat="1" ht="14.25" customHeight="1">
      <c r="A349" s="248" t="s">
        <v>1575</v>
      </c>
      <c r="B349" s="583">
        <v>45979</v>
      </c>
      <c r="C349" s="513" t="s">
        <v>1574</v>
      </c>
      <c r="D349" s="60"/>
      <c r="E349" s="16" t="s">
        <v>1588</v>
      </c>
      <c r="F349" s="313">
        <v>45982</v>
      </c>
      <c r="G349" s="66"/>
      <c r="H349" s="13"/>
      <c r="I349" s="704"/>
      <c r="J349" s="60"/>
      <c r="K349" s="245"/>
      <c r="L349" s="358"/>
      <c r="M349" s="16" t="s">
        <v>73</v>
      </c>
      <c r="N349" s="829"/>
      <c r="Q349" s="260" t="s">
        <v>1380</v>
      </c>
      <c r="R349" s="66" t="s">
        <v>15</v>
      </c>
      <c r="S349" s="16">
        <v>0.5</v>
      </c>
      <c r="T349" s="16">
        <v>40.130000000000003</v>
      </c>
      <c r="U349" s="112">
        <v>1</v>
      </c>
      <c r="V349" s="245"/>
      <c r="W349" s="66"/>
      <c r="X349" s="16">
        <v>40.130000000000003</v>
      </c>
      <c r="Y349" s="16" t="s">
        <v>1604</v>
      </c>
      <c r="Z349" s="679" t="s">
        <v>868</v>
      </c>
    </row>
    <row r="350" spans="1:26" s="56" customFormat="1" ht="14.25" customHeight="1">
      <c r="A350" s="204" t="s">
        <v>188</v>
      </c>
      <c r="B350" s="583">
        <v>45979</v>
      </c>
      <c r="C350" s="513" t="s">
        <v>1577</v>
      </c>
      <c r="D350" s="60"/>
      <c r="E350" s="16" t="s">
        <v>1588</v>
      </c>
      <c r="F350" s="313">
        <v>45981</v>
      </c>
      <c r="G350" s="66"/>
      <c r="H350" s="13" t="s">
        <v>1578</v>
      </c>
      <c r="I350" s="704">
        <v>4541268531</v>
      </c>
      <c r="J350" s="60"/>
      <c r="K350" s="245"/>
      <c r="L350" s="126" t="s">
        <v>1579</v>
      </c>
      <c r="M350" s="16" t="s">
        <v>73</v>
      </c>
      <c r="N350" s="829" t="s">
        <v>15</v>
      </c>
      <c r="O350" s="56" t="s">
        <v>15</v>
      </c>
      <c r="P350" s="56" t="s">
        <v>15</v>
      </c>
      <c r="Q350" s="260" t="s">
        <v>1327</v>
      </c>
      <c r="R350" s="66" t="s">
        <v>15</v>
      </c>
      <c r="S350" s="16" t="s">
        <v>15</v>
      </c>
      <c r="T350" s="16" t="s">
        <v>15</v>
      </c>
      <c r="U350" s="16" t="s">
        <v>15</v>
      </c>
      <c r="V350" s="245"/>
      <c r="W350" s="66" t="s">
        <v>881</v>
      </c>
      <c r="X350" s="16" t="s">
        <v>1589</v>
      </c>
      <c r="Y350" s="16" t="s">
        <v>1590</v>
      </c>
      <c r="Z350" s="679" t="s">
        <v>122</v>
      </c>
    </row>
    <row r="351" spans="1:26" s="56" customFormat="1" ht="14.25" customHeight="1">
      <c r="A351" s="248" t="s">
        <v>1606</v>
      </c>
      <c r="B351" s="583">
        <v>45980</v>
      </c>
      <c r="C351" s="513" t="s">
        <v>1580</v>
      </c>
      <c r="D351" s="60"/>
      <c r="E351" s="16" t="s">
        <v>45</v>
      </c>
      <c r="F351" s="313">
        <v>45985</v>
      </c>
      <c r="G351" s="66"/>
      <c r="H351" s="13" t="s">
        <v>1616</v>
      </c>
      <c r="I351" s="704"/>
      <c r="J351" s="60"/>
      <c r="K351" s="245"/>
      <c r="L351" s="358"/>
      <c r="M351" s="16" t="s">
        <v>73</v>
      </c>
      <c r="N351" s="829" t="s">
        <v>1613</v>
      </c>
      <c r="Q351" s="260" t="s">
        <v>1380</v>
      </c>
      <c r="R351" s="66" t="s">
        <v>15</v>
      </c>
      <c r="S351" s="16">
        <v>4</v>
      </c>
      <c r="T351" s="16">
        <v>2342.38</v>
      </c>
      <c r="U351" s="112">
        <v>1</v>
      </c>
      <c r="V351" s="245"/>
      <c r="W351" s="66"/>
      <c r="X351" s="16"/>
      <c r="Y351" s="179">
        <v>1250</v>
      </c>
      <c r="Z351" s="679" t="s">
        <v>1605</v>
      </c>
    </row>
    <row r="352" spans="1:26" s="56" customFormat="1" ht="14.25" customHeight="1">
      <c r="A352" s="248" t="s">
        <v>1312</v>
      </c>
      <c r="B352" s="583">
        <v>45981</v>
      </c>
      <c r="C352" s="513" t="s">
        <v>1581</v>
      </c>
      <c r="D352" s="60"/>
      <c r="E352" s="16" t="s">
        <v>1588</v>
      </c>
      <c r="F352" s="313">
        <v>45981</v>
      </c>
      <c r="G352" s="66"/>
      <c r="H352" s="13" t="s">
        <v>1582</v>
      </c>
      <c r="I352" s="704">
        <v>4546626047</v>
      </c>
      <c r="J352" s="60"/>
      <c r="K352" s="245"/>
      <c r="L352" s="126" t="s">
        <v>1583</v>
      </c>
      <c r="M352" s="16" t="s">
        <v>73</v>
      </c>
      <c r="N352" s="829" t="s">
        <v>15</v>
      </c>
      <c r="O352" s="56" t="s">
        <v>15</v>
      </c>
      <c r="P352" s="56" t="s">
        <v>15</v>
      </c>
      <c r="Q352" s="260" t="s">
        <v>1327</v>
      </c>
      <c r="R352" s="66" t="s">
        <v>15</v>
      </c>
      <c r="S352" s="16" t="s">
        <v>15</v>
      </c>
      <c r="T352" s="16" t="s">
        <v>15</v>
      </c>
      <c r="U352" s="16" t="s">
        <v>15</v>
      </c>
      <c r="V352" s="245"/>
      <c r="W352" s="66" t="s">
        <v>881</v>
      </c>
      <c r="X352" s="16" t="s">
        <v>1591</v>
      </c>
      <c r="Y352" s="16" t="s">
        <v>1592</v>
      </c>
      <c r="Z352" s="679" t="s">
        <v>852</v>
      </c>
    </row>
    <row r="353" spans="1:26" s="56" customFormat="1" ht="14.25" customHeight="1">
      <c r="A353" s="248" t="s">
        <v>1599</v>
      </c>
      <c r="B353" s="583">
        <v>45982</v>
      </c>
      <c r="C353" s="513" t="s">
        <v>1600</v>
      </c>
      <c r="D353" s="60"/>
      <c r="E353" s="16" t="s">
        <v>45</v>
      </c>
      <c r="F353" s="313">
        <v>45985</v>
      </c>
      <c r="G353" s="66"/>
      <c r="H353" s="13" t="s">
        <v>1601</v>
      </c>
      <c r="I353" s="704"/>
      <c r="J353" s="839">
        <v>4548484760</v>
      </c>
      <c r="K353" s="260">
        <v>4548484760</v>
      </c>
      <c r="L353" s="126"/>
      <c r="M353" s="16" t="s">
        <v>73</v>
      </c>
      <c r="N353" s="829"/>
      <c r="Q353" s="260" t="s">
        <v>1380</v>
      </c>
      <c r="R353" s="66" t="s">
        <v>15</v>
      </c>
      <c r="S353" s="16">
        <v>1</v>
      </c>
      <c r="T353" s="16">
        <v>125.94</v>
      </c>
      <c r="U353" s="112">
        <v>1</v>
      </c>
      <c r="V353" s="245"/>
      <c r="W353" s="66"/>
      <c r="Y353" s="575" t="s">
        <v>1622</v>
      </c>
      <c r="Z353" s="679" t="s">
        <v>1609</v>
      </c>
    </row>
    <row r="354" spans="1:26" s="56" customFormat="1" ht="14.25" customHeight="1">
      <c r="A354" s="246" t="s">
        <v>1607</v>
      </c>
      <c r="B354" s="88">
        <v>45982</v>
      </c>
      <c r="C354" s="62" t="s">
        <v>1602</v>
      </c>
      <c r="D354" s="239"/>
      <c r="E354" s="22" t="s">
        <v>1588</v>
      </c>
      <c r="F354" s="377">
        <v>45985</v>
      </c>
      <c r="G354" s="88"/>
      <c r="H354" s="171" t="s">
        <v>1603</v>
      </c>
      <c r="I354" s="703"/>
      <c r="J354" s="239"/>
      <c r="K354" s="373"/>
      <c r="L354" s="378"/>
      <c r="M354" s="22" t="s">
        <v>73</v>
      </c>
      <c r="N354" s="22"/>
      <c r="O354" s="62"/>
      <c r="P354" s="62"/>
      <c r="Q354" s="270" t="s">
        <v>1380</v>
      </c>
      <c r="R354" s="88" t="s">
        <v>15</v>
      </c>
      <c r="S354" s="22">
        <v>0.5</v>
      </c>
      <c r="T354" s="22">
        <v>4016.26</v>
      </c>
      <c r="U354" s="121">
        <v>1</v>
      </c>
      <c r="V354" s="373"/>
      <c r="W354" s="88" t="s">
        <v>1619</v>
      </c>
      <c r="X354" s="22" t="s">
        <v>1620</v>
      </c>
      <c r="Y354" s="22" t="s">
        <v>1621</v>
      </c>
      <c r="Z354" s="62" t="s">
        <v>1608</v>
      </c>
    </row>
    <row r="355" spans="1:26" s="438" customFormat="1" ht="82.8">
      <c r="A355" s="436" t="s">
        <v>1389</v>
      </c>
      <c r="B355" s="437">
        <v>45985</v>
      </c>
      <c r="C355" s="438" t="s">
        <v>1610</v>
      </c>
      <c r="D355" s="443"/>
      <c r="E355" s="439" t="s">
        <v>45</v>
      </c>
      <c r="F355" s="470">
        <v>46006</v>
      </c>
      <c r="G355" s="437"/>
      <c r="H355" s="461" t="s">
        <v>1611</v>
      </c>
      <c r="I355" s="705"/>
      <c r="J355" s="444">
        <v>4548808997</v>
      </c>
      <c r="K355" s="492"/>
      <c r="L355" s="464" t="s">
        <v>1612</v>
      </c>
      <c r="M355" s="439" t="s">
        <v>73</v>
      </c>
      <c r="N355" s="721"/>
      <c r="O355" s="438" t="s">
        <v>1718</v>
      </c>
      <c r="Q355" s="458" t="s">
        <v>1190</v>
      </c>
      <c r="R355" s="437" t="s">
        <v>15</v>
      </c>
      <c r="S355" s="439">
        <v>0.5</v>
      </c>
      <c r="T355" s="439">
        <v>109.30000000000001</v>
      </c>
      <c r="U355" s="467">
        <v>1</v>
      </c>
      <c r="V355" s="492"/>
      <c r="W355" s="437"/>
      <c r="Y355" s="468" t="s">
        <v>1720</v>
      </c>
      <c r="Z355" s="438" t="s">
        <v>427</v>
      </c>
    </row>
    <row r="356" spans="1:26" s="56" customFormat="1" ht="14.25" customHeight="1">
      <c r="A356" s="248" t="s">
        <v>1312</v>
      </c>
      <c r="B356" s="583">
        <v>45985</v>
      </c>
      <c r="C356" s="513" t="s">
        <v>1614</v>
      </c>
      <c r="D356" s="58" t="s">
        <v>1091</v>
      </c>
      <c r="E356" s="16" t="s">
        <v>923</v>
      </c>
      <c r="F356" s="313">
        <v>45994</v>
      </c>
      <c r="G356" s="66"/>
      <c r="H356" s="178">
        <v>308382</v>
      </c>
      <c r="I356" s="704"/>
      <c r="J356" s="850">
        <v>4548409313</v>
      </c>
      <c r="K356" s="245"/>
      <c r="L356" s="126" t="s">
        <v>1615</v>
      </c>
      <c r="M356" s="16" t="s">
        <v>73</v>
      </c>
      <c r="N356" s="829"/>
      <c r="O356" s="56" t="s">
        <v>1635</v>
      </c>
      <c r="Q356" s="260" t="s">
        <v>1190</v>
      </c>
      <c r="R356" s="66" t="s">
        <v>15</v>
      </c>
      <c r="S356" s="16">
        <v>0.5</v>
      </c>
      <c r="T356" s="16">
        <v>12.67</v>
      </c>
      <c r="U356" s="112">
        <v>1</v>
      </c>
      <c r="V356" s="245"/>
      <c r="W356" s="282">
        <v>1</v>
      </c>
      <c r="X356" s="16">
        <v>12.67</v>
      </c>
      <c r="Y356" s="16">
        <v>91</v>
      </c>
      <c r="Z356" s="679" t="s">
        <v>852</v>
      </c>
    </row>
    <row r="357" spans="1:26" s="438" customFormat="1" ht="55.2">
      <c r="A357" s="436" t="s">
        <v>676</v>
      </c>
      <c r="B357" s="437">
        <v>45985</v>
      </c>
      <c r="C357" s="798">
        <v>11904832</v>
      </c>
      <c r="D357" s="439" t="s">
        <v>1804</v>
      </c>
      <c r="E357" s="439" t="s">
        <v>45</v>
      </c>
      <c r="F357" s="493" t="s">
        <v>1832</v>
      </c>
      <c r="G357" s="437"/>
      <c r="H357" s="491" t="s">
        <v>1803</v>
      </c>
      <c r="I357" s="705"/>
      <c r="J357" s="850">
        <v>4549435266</v>
      </c>
      <c r="K357" s="492"/>
      <c r="L357" s="490" t="s">
        <v>1807</v>
      </c>
      <c r="M357" s="439" t="s">
        <v>73</v>
      </c>
      <c r="N357" s="721"/>
      <c r="O357" s="438" t="s">
        <v>1835</v>
      </c>
      <c r="Q357" s="458" t="s">
        <v>1190</v>
      </c>
      <c r="R357" s="437" t="s">
        <v>15</v>
      </c>
      <c r="S357" s="439">
        <v>0.5</v>
      </c>
      <c r="T357" s="439">
        <v>1667.28</v>
      </c>
      <c r="U357" s="467">
        <v>1</v>
      </c>
      <c r="V357" s="492"/>
      <c r="W357" s="437" t="s">
        <v>1646</v>
      </c>
      <c r="X357" s="439" t="s">
        <v>1647</v>
      </c>
      <c r="Y357" s="439" t="s">
        <v>1836</v>
      </c>
      <c r="Z357" s="438" t="s">
        <v>1623</v>
      </c>
    </row>
    <row r="358" spans="1:26" s="56" customFormat="1" ht="14.25" customHeight="1">
      <c r="A358" s="248" t="s">
        <v>522</v>
      </c>
      <c r="B358" s="583">
        <v>45986</v>
      </c>
      <c r="C358" s="513" t="s">
        <v>1624</v>
      </c>
      <c r="D358" s="58" t="s">
        <v>142</v>
      </c>
      <c r="E358" s="16" t="s">
        <v>923</v>
      </c>
      <c r="F358" s="66">
        <v>45986</v>
      </c>
      <c r="G358" s="66"/>
      <c r="H358" s="13" t="s">
        <v>1625</v>
      </c>
      <c r="I358" s="704"/>
      <c r="J358" s="839">
        <v>4548302007</v>
      </c>
      <c r="K358" s="245"/>
      <c r="L358" s="376"/>
      <c r="M358" s="16" t="s">
        <v>73</v>
      </c>
      <c r="N358" s="829"/>
      <c r="Q358" s="260" t="s">
        <v>1380</v>
      </c>
      <c r="R358" s="66" t="s">
        <v>15</v>
      </c>
      <c r="S358" s="16">
        <v>1</v>
      </c>
      <c r="T358" s="16">
        <v>240.96</v>
      </c>
      <c r="U358" s="112">
        <v>1</v>
      </c>
      <c r="V358" s="245"/>
      <c r="W358" s="66"/>
      <c r="Y358" s="16" t="s">
        <v>1626</v>
      </c>
      <c r="Z358" s="679" t="s">
        <v>122</v>
      </c>
    </row>
    <row r="359" spans="1:26" s="56" customFormat="1" ht="82.8">
      <c r="A359" s="139" t="s">
        <v>1628</v>
      </c>
      <c r="B359" s="583">
        <v>45988</v>
      </c>
      <c r="C359" s="513" t="s">
        <v>1662</v>
      </c>
      <c r="E359" s="16" t="s">
        <v>923</v>
      </c>
      <c r="F359" s="416">
        <v>45995</v>
      </c>
      <c r="G359" s="66"/>
      <c r="H359" s="212" t="s">
        <v>1627</v>
      </c>
      <c r="I359" s="706"/>
      <c r="J359" s="60"/>
      <c r="K359" s="408"/>
      <c r="L359" s="409"/>
      <c r="M359" s="16" t="s">
        <v>73</v>
      </c>
      <c r="N359" s="829"/>
      <c r="O359" s="56" t="s">
        <v>1703</v>
      </c>
      <c r="Q359" s="342" t="s">
        <v>1675</v>
      </c>
      <c r="R359" s="66" t="s">
        <v>15</v>
      </c>
      <c r="S359" s="16">
        <v>0.5</v>
      </c>
      <c r="T359" s="16" t="s">
        <v>1655</v>
      </c>
      <c r="U359" s="16">
        <v>100</v>
      </c>
      <c r="V359" s="408"/>
      <c r="W359" s="66" t="s">
        <v>1657</v>
      </c>
      <c r="X359" s="56" t="s">
        <v>1656</v>
      </c>
      <c r="Y359" s="16" t="s">
        <v>1655</v>
      </c>
      <c r="Z359" s="679" t="s">
        <v>1027</v>
      </c>
    </row>
    <row r="360" spans="1:26" s="56" customFormat="1" ht="82.8">
      <c r="A360" s="139" t="s">
        <v>1628</v>
      </c>
      <c r="B360" s="583">
        <v>45988</v>
      </c>
      <c r="C360" s="513" t="s">
        <v>1662</v>
      </c>
      <c r="E360" s="16" t="s">
        <v>45</v>
      </c>
      <c r="F360" s="313">
        <v>46006</v>
      </c>
      <c r="G360" s="66"/>
      <c r="H360" s="212" t="s">
        <v>1627</v>
      </c>
      <c r="I360" s="706"/>
      <c r="J360" s="60"/>
      <c r="K360" s="408"/>
      <c r="L360" s="409"/>
      <c r="M360" s="16"/>
      <c r="N360" s="829" t="s">
        <v>1764</v>
      </c>
      <c r="O360" s="56" t="s">
        <v>1704</v>
      </c>
      <c r="Q360" s="342" t="s">
        <v>1190</v>
      </c>
      <c r="R360" s="66" t="s">
        <v>15</v>
      </c>
      <c r="S360" s="16">
        <v>0.5</v>
      </c>
      <c r="T360" s="16">
        <v>125.03999999999999</v>
      </c>
      <c r="U360" s="112">
        <v>1</v>
      </c>
      <c r="V360" s="408"/>
      <c r="W360" s="66" t="s">
        <v>1657</v>
      </c>
      <c r="X360" s="56" t="s">
        <v>1656</v>
      </c>
      <c r="Y360" s="16" t="s">
        <v>1655</v>
      </c>
      <c r="Z360" s="679" t="s">
        <v>1027</v>
      </c>
    </row>
    <row r="361" spans="1:26" s="56" customFormat="1" ht="82.8">
      <c r="A361" s="139" t="s">
        <v>1628</v>
      </c>
      <c r="B361" s="583">
        <v>45988</v>
      </c>
      <c r="C361" s="513" t="s">
        <v>1662</v>
      </c>
      <c r="E361" s="16" t="s">
        <v>45</v>
      </c>
      <c r="F361" s="313">
        <v>46006</v>
      </c>
      <c r="G361" s="66"/>
      <c r="H361" s="212" t="s">
        <v>1627</v>
      </c>
      <c r="I361" s="706"/>
      <c r="J361" s="60"/>
      <c r="K361" s="408"/>
      <c r="L361" s="409"/>
      <c r="M361" s="16"/>
      <c r="N361" s="721" t="s">
        <v>1765</v>
      </c>
      <c r="O361" s="438" t="s">
        <v>1767</v>
      </c>
      <c r="Q361" s="342" t="s">
        <v>1190</v>
      </c>
      <c r="R361" s="66" t="s">
        <v>15</v>
      </c>
      <c r="S361" s="16">
        <v>0.5</v>
      </c>
      <c r="T361" s="16">
        <v>112.52999999999999</v>
      </c>
      <c r="U361" s="112">
        <v>1</v>
      </c>
      <c r="V361" s="408"/>
      <c r="W361" s="66" t="s">
        <v>1657</v>
      </c>
      <c r="X361" s="56" t="s">
        <v>1738</v>
      </c>
      <c r="Y361" s="16" t="s">
        <v>1739</v>
      </c>
      <c r="Z361" s="679" t="s">
        <v>1027</v>
      </c>
    </row>
    <row r="362" spans="1:26" s="56" customFormat="1" ht="82.8">
      <c r="A362" s="139" t="s">
        <v>1628</v>
      </c>
      <c r="B362" s="583">
        <v>45988</v>
      </c>
      <c r="C362" s="513" t="s">
        <v>1662</v>
      </c>
      <c r="E362" s="16" t="s">
        <v>45</v>
      </c>
      <c r="F362" s="313">
        <v>46006</v>
      </c>
      <c r="G362" s="66"/>
      <c r="H362" s="212" t="s">
        <v>1627</v>
      </c>
      <c r="I362" s="706"/>
      <c r="J362" s="60"/>
      <c r="K362" s="408"/>
      <c r="L362" s="409"/>
      <c r="M362" s="16"/>
      <c r="N362" s="721" t="s">
        <v>1766</v>
      </c>
      <c r="O362" s="438" t="s">
        <v>1768</v>
      </c>
      <c r="Q362" s="342" t="s">
        <v>1190</v>
      </c>
      <c r="R362" s="66" t="s">
        <v>15</v>
      </c>
      <c r="S362" s="16">
        <v>0.5</v>
      </c>
      <c r="T362" s="16">
        <v>112.52999999999999</v>
      </c>
      <c r="U362" s="112">
        <v>1</v>
      </c>
      <c r="V362" s="408"/>
      <c r="W362" s="66" t="s">
        <v>1657</v>
      </c>
      <c r="X362" s="56" t="s">
        <v>1738</v>
      </c>
      <c r="Y362" s="16" t="s">
        <v>1739</v>
      </c>
      <c r="Z362" s="679" t="s">
        <v>1027</v>
      </c>
    </row>
    <row r="363" spans="1:26" s="56" customFormat="1" ht="14.25" customHeight="1">
      <c r="A363" s="410" t="s">
        <v>1630</v>
      </c>
      <c r="B363" s="307">
        <v>45988</v>
      </c>
      <c r="C363" s="312" t="s">
        <v>1629</v>
      </c>
      <c r="D363" s="411"/>
      <c r="E363" s="127"/>
      <c r="F363" s="412"/>
      <c r="G363" s="307"/>
      <c r="H363" s="413"/>
      <c r="I363" s="707"/>
      <c r="J363" s="411"/>
      <c r="K363" s="412"/>
      <c r="L363" s="414"/>
      <c r="M363" s="127" t="s">
        <v>73</v>
      </c>
      <c r="N363" s="824"/>
      <c r="O363" s="312"/>
      <c r="P363" s="312"/>
      <c r="Q363" s="415"/>
      <c r="R363" s="307"/>
      <c r="S363" s="127"/>
      <c r="T363" s="127"/>
      <c r="U363" s="127"/>
      <c r="V363" s="412"/>
      <c r="W363" s="307"/>
      <c r="X363" s="312"/>
      <c r="Y363" s="312"/>
      <c r="Z363" s="312" t="s">
        <v>1631</v>
      </c>
    </row>
    <row r="364" spans="1:26" s="56" customFormat="1" ht="151.80000000000001">
      <c r="A364" s="246" t="s">
        <v>522</v>
      </c>
      <c r="B364" s="88">
        <v>45989</v>
      </c>
      <c r="C364" s="62" t="s">
        <v>1632</v>
      </c>
      <c r="D364" s="62"/>
      <c r="E364" s="22" t="s">
        <v>45</v>
      </c>
      <c r="F364" s="377">
        <v>46006</v>
      </c>
      <c r="G364" s="88"/>
      <c r="H364" s="572" t="s">
        <v>1633</v>
      </c>
      <c r="I364" s="703">
        <v>4543774337</v>
      </c>
      <c r="J364" s="239"/>
      <c r="K364" s="373"/>
      <c r="L364" s="378"/>
      <c r="M364" s="22" t="s">
        <v>73</v>
      </c>
      <c r="N364" s="22"/>
      <c r="O364" s="62" t="s">
        <v>1705</v>
      </c>
      <c r="P364" s="62"/>
      <c r="Q364" s="243" t="s">
        <v>1190</v>
      </c>
      <c r="R364" s="88" t="s">
        <v>15</v>
      </c>
      <c r="S364" s="22">
        <v>0.5</v>
      </c>
      <c r="T364" s="22">
        <v>133.82</v>
      </c>
      <c r="U364" s="121">
        <v>1</v>
      </c>
      <c r="V364" s="373"/>
      <c r="W364" s="88"/>
      <c r="X364" s="62"/>
      <c r="Y364" s="96" t="s">
        <v>1721</v>
      </c>
      <c r="Z364" s="62" t="s">
        <v>122</v>
      </c>
    </row>
    <row r="365" spans="1:26" s="56" customFormat="1" ht="14.25" customHeight="1">
      <c r="A365" t="s">
        <v>1312</v>
      </c>
      <c r="B365" s="583">
        <v>45994</v>
      </c>
      <c r="C365" s="513" t="s">
        <v>1636</v>
      </c>
      <c r="D365" s="16" t="s">
        <v>1091</v>
      </c>
      <c r="E365" s="16" t="s">
        <v>45</v>
      </c>
      <c r="F365" s="283">
        <v>46006</v>
      </c>
      <c r="G365" s="66"/>
      <c r="H365" s="13" t="s">
        <v>1637</v>
      </c>
      <c r="I365" s="704">
        <v>4546648163</v>
      </c>
      <c r="J365" s="839">
        <v>4548576183</v>
      </c>
      <c r="K365" s="245" t="s">
        <v>1919</v>
      </c>
      <c r="L365" s="126" t="s">
        <v>1638</v>
      </c>
      <c r="M365" s="16" t="s">
        <v>73</v>
      </c>
      <c r="N365" s="829"/>
      <c r="O365" s="56" t="s">
        <v>1706</v>
      </c>
      <c r="Q365" s="342" t="s">
        <v>1190</v>
      </c>
      <c r="R365" s="66" t="s">
        <v>15</v>
      </c>
      <c r="S365" s="16">
        <v>0.5</v>
      </c>
      <c r="T365" s="16">
        <v>153.66</v>
      </c>
      <c r="U365" s="112">
        <v>1</v>
      </c>
      <c r="V365" s="245"/>
      <c r="W365" s="66" t="s">
        <v>1736</v>
      </c>
      <c r="X365" s="16">
        <v>76.83</v>
      </c>
      <c r="Y365" s="16" t="s">
        <v>1737</v>
      </c>
      <c r="Z365" s="679" t="s">
        <v>852</v>
      </c>
    </row>
    <row r="366" spans="1:26" s="11" customFormat="1" ht="110.4">
      <c r="A366" s="248" t="s">
        <v>184</v>
      </c>
      <c r="B366" s="583">
        <v>45994</v>
      </c>
      <c r="C366" s="513" t="s">
        <v>1640</v>
      </c>
      <c r="D366" s="56"/>
      <c r="E366" s="16" t="s">
        <v>45</v>
      </c>
      <c r="F366" s="313">
        <v>46006</v>
      </c>
      <c r="G366" s="199"/>
      <c r="H366" s="56" t="s">
        <v>1641</v>
      </c>
      <c r="I366" s="58"/>
      <c r="J366" s="57"/>
      <c r="K366" s="248"/>
      <c r="L366" s="126" t="s">
        <v>1639</v>
      </c>
      <c r="M366" s="16" t="s">
        <v>73</v>
      </c>
      <c r="N366" s="829"/>
      <c r="O366" s="56" t="s">
        <v>1707</v>
      </c>
      <c r="P366" s="56"/>
      <c r="Q366" s="342" t="s">
        <v>1190</v>
      </c>
      <c r="R366" s="66" t="s">
        <v>15</v>
      </c>
      <c r="S366" s="16">
        <v>0.5</v>
      </c>
      <c r="T366" s="16">
        <v>232.6</v>
      </c>
      <c r="U366" s="112">
        <v>1</v>
      </c>
      <c r="V366" s="204"/>
      <c r="W366" s="66"/>
      <c r="X366" s="56"/>
      <c r="Y366" s="16" t="s">
        <v>1722</v>
      </c>
      <c r="Z366" s="691" t="s">
        <v>122</v>
      </c>
    </row>
    <row r="367" spans="1:26" s="11" customFormat="1" ht="92.25" customHeight="1">
      <c r="A367" s="436" t="s">
        <v>1795</v>
      </c>
      <c r="B367" s="437">
        <v>45994</v>
      </c>
      <c r="C367" s="438" t="s">
        <v>1746</v>
      </c>
      <c r="D367" s="438"/>
      <c r="E367" s="439" t="s">
        <v>45</v>
      </c>
      <c r="F367" s="440">
        <v>46028</v>
      </c>
      <c r="G367" s="441"/>
      <c r="H367" s="438" t="s">
        <v>1745</v>
      </c>
      <c r="I367" s="58"/>
      <c r="J367" s="57" t="s">
        <v>1866</v>
      </c>
      <c r="K367" s="248"/>
      <c r="L367" s="126"/>
      <c r="M367" s="434"/>
      <c r="N367" s="829"/>
      <c r="O367" s="433" t="s">
        <v>1791</v>
      </c>
      <c r="P367" s="433"/>
      <c r="Q367" s="342" t="s">
        <v>1790</v>
      </c>
      <c r="R367" s="435" t="s">
        <v>15</v>
      </c>
      <c r="S367" s="434">
        <v>0.5</v>
      </c>
      <c r="T367" s="434">
        <v>92.25</v>
      </c>
      <c r="U367" s="112">
        <v>1</v>
      </c>
      <c r="V367" s="204"/>
      <c r="W367" s="66" t="s">
        <v>1793</v>
      </c>
      <c r="X367" s="56" t="s">
        <v>1794</v>
      </c>
      <c r="Y367" s="16" t="s">
        <v>1792</v>
      </c>
      <c r="Z367" s="679" t="s">
        <v>1605</v>
      </c>
    </row>
    <row r="368" spans="1:26" s="666" customFormat="1" ht="24.75" customHeight="1">
      <c r="A368" s="667" t="s">
        <v>1642</v>
      </c>
      <c r="B368" s="657">
        <v>45994</v>
      </c>
      <c r="C368" s="658" t="s">
        <v>1643</v>
      </c>
      <c r="D368" s="659"/>
      <c r="E368" s="660" t="s">
        <v>45</v>
      </c>
      <c r="F368" s="668">
        <v>46006</v>
      </c>
      <c r="G368" s="661"/>
      <c r="H368" s="13" t="s">
        <v>1985</v>
      </c>
      <c r="I368" s="699"/>
      <c r="J368" s="699"/>
      <c r="K368" s="662"/>
      <c r="L368" s="663" t="s">
        <v>1644</v>
      </c>
      <c r="M368" s="660" t="s">
        <v>73</v>
      </c>
      <c r="N368" s="660"/>
      <c r="O368" s="659" t="s">
        <v>1708</v>
      </c>
      <c r="P368" s="659"/>
      <c r="Q368" s="664" t="s">
        <v>1190</v>
      </c>
      <c r="R368" s="657" t="s">
        <v>15</v>
      </c>
      <c r="S368" s="660">
        <v>0.5</v>
      </c>
      <c r="T368" s="660">
        <v>27.97</v>
      </c>
      <c r="U368" s="665">
        <v>1</v>
      </c>
      <c r="V368" s="13" t="s">
        <v>1985</v>
      </c>
      <c r="W368" s="657"/>
      <c r="X368" s="659"/>
      <c r="Y368" s="660" t="s">
        <v>1723</v>
      </c>
      <c r="Z368" s="659" t="s">
        <v>1645</v>
      </c>
    </row>
    <row r="369" spans="1:26" s="11" customFormat="1" ht="14.7" customHeight="1">
      <c r="A369" t="s">
        <v>1312</v>
      </c>
      <c r="B369" s="583">
        <v>45995</v>
      </c>
      <c r="C369" s="513" t="s">
        <v>1658</v>
      </c>
      <c r="D369" s="56" t="s">
        <v>1659</v>
      </c>
      <c r="E369" s="16" t="s">
        <v>45</v>
      </c>
      <c r="F369" s="283">
        <v>46006</v>
      </c>
      <c r="G369" s="199"/>
      <c r="H369" s="56" t="s">
        <v>1660</v>
      </c>
      <c r="I369" s="58">
        <v>4546551142</v>
      </c>
      <c r="J369" s="57"/>
      <c r="K369" s="248"/>
      <c r="L369" s="126" t="s">
        <v>1661</v>
      </c>
      <c r="M369" s="434" t="s">
        <v>73</v>
      </c>
      <c r="N369" s="829"/>
      <c r="O369" s="433" t="s">
        <v>1709</v>
      </c>
      <c r="P369" s="433"/>
      <c r="Q369" s="342" t="s">
        <v>1190</v>
      </c>
      <c r="R369" s="435" t="s">
        <v>15</v>
      </c>
      <c r="S369" s="434">
        <v>0.5</v>
      </c>
      <c r="T369" s="434">
        <v>120.04</v>
      </c>
      <c r="U369" s="112">
        <v>1</v>
      </c>
      <c r="V369" s="204"/>
      <c r="W369" s="66"/>
      <c r="X369" s="56"/>
      <c r="Y369" s="16" t="s">
        <v>1724</v>
      </c>
      <c r="Z369" s="679" t="s">
        <v>852</v>
      </c>
    </row>
    <row r="370" spans="1:26" s="11" customFormat="1" ht="69">
      <c r="A370" s="246" t="s">
        <v>1469</v>
      </c>
      <c r="B370" s="88">
        <v>45996</v>
      </c>
      <c r="C370" s="62">
        <v>11857193</v>
      </c>
      <c r="D370" s="62"/>
      <c r="E370" s="22" t="s">
        <v>45</v>
      </c>
      <c r="F370" s="377">
        <v>46006</v>
      </c>
      <c r="G370" s="201"/>
      <c r="H370" s="62" t="s">
        <v>1695</v>
      </c>
      <c r="I370" s="708"/>
      <c r="J370" s="111"/>
      <c r="K370" s="246"/>
      <c r="L370" s="137" t="s">
        <v>1696</v>
      </c>
      <c r="M370" s="22" t="s">
        <v>73</v>
      </c>
      <c r="N370" s="22"/>
      <c r="O370" s="62" t="s">
        <v>1713</v>
      </c>
      <c r="P370" s="62"/>
      <c r="Q370" s="243" t="s">
        <v>1190</v>
      </c>
      <c r="R370" s="88" t="s">
        <v>15</v>
      </c>
      <c r="S370" s="22">
        <v>0.5</v>
      </c>
      <c r="T370" s="22">
        <v>106.86999999999999</v>
      </c>
      <c r="U370" s="121">
        <v>1</v>
      </c>
      <c r="V370" s="244"/>
      <c r="W370" s="88"/>
      <c r="X370" s="62"/>
      <c r="Y370" s="22" t="s">
        <v>1725</v>
      </c>
      <c r="Z370" s="62" t="s">
        <v>1468</v>
      </c>
    </row>
    <row r="371" spans="1:26" s="460" customFormat="1" ht="24" customHeight="1">
      <c r="A371" s="436" t="s">
        <v>1664</v>
      </c>
      <c r="B371" s="437">
        <v>45999</v>
      </c>
      <c r="C371" s="438" t="s">
        <v>1666</v>
      </c>
      <c r="D371" s="438" t="s">
        <v>1751</v>
      </c>
      <c r="E371" s="439" t="s">
        <v>45</v>
      </c>
      <c r="F371" s="470">
        <v>46009</v>
      </c>
      <c r="G371" s="441"/>
      <c r="H371" s="438" t="s">
        <v>1665</v>
      </c>
      <c r="I371" s="444"/>
      <c r="J371" s="851"/>
      <c r="K371" s="436"/>
      <c r="L371" s="489" t="s">
        <v>1667</v>
      </c>
      <c r="M371" s="439" t="s">
        <v>73</v>
      </c>
      <c r="N371" s="721"/>
      <c r="O371" s="438" t="s">
        <v>1719</v>
      </c>
      <c r="P371" s="438"/>
      <c r="Q371" s="458"/>
      <c r="R371" s="437"/>
      <c r="S371" s="439"/>
      <c r="T371" s="439"/>
      <c r="U371" s="439"/>
      <c r="V371" s="459"/>
      <c r="W371" s="437"/>
      <c r="X371" s="438"/>
      <c r="Y371" s="439" t="s">
        <v>1772</v>
      </c>
      <c r="Z371" s="438" t="s">
        <v>1216</v>
      </c>
    </row>
    <row r="372" spans="1:26" s="11" customFormat="1" ht="35.25" customHeight="1">
      <c r="A372" s="204" t="s">
        <v>1531</v>
      </c>
      <c r="B372" s="583">
        <v>45999</v>
      </c>
      <c r="C372" s="513" t="s">
        <v>1668</v>
      </c>
      <c r="D372" s="60"/>
      <c r="E372" s="56" t="s">
        <v>1734</v>
      </c>
      <c r="F372" s="56" t="s">
        <v>1735</v>
      </c>
      <c r="G372" s="16" t="s">
        <v>1734</v>
      </c>
      <c r="H372" s="56"/>
      <c r="I372" s="58"/>
      <c r="J372" s="57"/>
      <c r="K372" s="248"/>
      <c r="L372" s="126" t="s">
        <v>1669</v>
      </c>
      <c r="M372" s="16" t="s">
        <v>73</v>
      </c>
      <c r="N372" s="829"/>
      <c r="O372" s="60" t="s">
        <v>1711</v>
      </c>
      <c r="P372" s="56"/>
      <c r="Q372" s="260" t="s">
        <v>1190</v>
      </c>
      <c r="R372" s="66" t="s">
        <v>15</v>
      </c>
      <c r="S372" s="16" t="s">
        <v>15</v>
      </c>
      <c r="T372" s="16" t="s">
        <v>15</v>
      </c>
      <c r="U372" s="112">
        <v>1</v>
      </c>
      <c r="V372" s="204"/>
      <c r="W372" s="66"/>
      <c r="X372" s="56"/>
      <c r="Y372" s="16"/>
      <c r="Z372" s="679" t="s">
        <v>1549</v>
      </c>
    </row>
    <row r="373" spans="1:26" s="460" customFormat="1" ht="14.7" customHeight="1">
      <c r="A373" s="459" t="s">
        <v>1677</v>
      </c>
      <c r="B373" s="437">
        <v>45999</v>
      </c>
      <c r="C373" s="438" t="s">
        <v>1671</v>
      </c>
      <c r="D373" s="438"/>
      <c r="E373" s="439" t="s">
        <v>45</v>
      </c>
      <c r="F373" s="455">
        <v>46008</v>
      </c>
      <c r="G373" s="441"/>
      <c r="H373" s="438"/>
      <c r="I373" s="444"/>
      <c r="J373" s="851">
        <v>4548732718</v>
      </c>
      <c r="K373" s="436"/>
      <c r="L373" s="489"/>
      <c r="M373" s="439" t="s">
        <v>73</v>
      </c>
      <c r="N373" s="721"/>
      <c r="O373" s="438" t="s">
        <v>1710</v>
      </c>
      <c r="P373" s="438"/>
      <c r="Q373" s="458" t="s">
        <v>1190</v>
      </c>
      <c r="R373" s="437" t="s">
        <v>15</v>
      </c>
      <c r="S373" s="439" t="s">
        <v>15</v>
      </c>
      <c r="T373" s="439" t="s">
        <v>15</v>
      </c>
      <c r="U373" s="467">
        <v>1</v>
      </c>
      <c r="V373" s="464" t="s">
        <v>1672</v>
      </c>
      <c r="W373" s="437"/>
      <c r="X373" s="438"/>
      <c r="Y373" s="439"/>
      <c r="Z373" s="438" t="s">
        <v>1676</v>
      </c>
    </row>
    <row r="374" spans="1:26" s="11" customFormat="1" ht="14.7" customHeight="1">
      <c r="A374" s="204" t="s">
        <v>1677</v>
      </c>
      <c r="B374" s="583">
        <v>45999</v>
      </c>
      <c r="C374" s="513" t="s">
        <v>1673</v>
      </c>
      <c r="D374" s="60"/>
      <c r="E374" s="16" t="s">
        <v>45</v>
      </c>
      <c r="F374" s="283">
        <v>46008</v>
      </c>
      <c r="G374" s="199"/>
      <c r="H374" s="56"/>
      <c r="I374" s="58"/>
      <c r="J374" s="57"/>
      <c r="K374" s="248"/>
      <c r="L374" s="126"/>
      <c r="M374" s="16" t="s">
        <v>73</v>
      </c>
      <c r="N374" s="829"/>
      <c r="O374" s="60" t="s">
        <v>1710</v>
      </c>
      <c r="P374" s="56"/>
      <c r="Q374" s="260" t="s">
        <v>1190</v>
      </c>
      <c r="R374" s="66" t="s">
        <v>15</v>
      </c>
      <c r="S374" s="16" t="s">
        <v>15</v>
      </c>
      <c r="T374" s="16" t="s">
        <v>15</v>
      </c>
      <c r="U374" s="112">
        <v>1</v>
      </c>
      <c r="V374" s="204"/>
      <c r="W374" s="66"/>
      <c r="X374" s="56"/>
      <c r="Y374" s="16"/>
      <c r="Z374" s="679" t="s">
        <v>1676</v>
      </c>
    </row>
    <row r="375" spans="1:26" s="18" customFormat="1" ht="82.8">
      <c r="A375" s="248" t="s">
        <v>443</v>
      </c>
      <c r="B375" s="583">
        <v>45999</v>
      </c>
      <c r="C375" s="513" t="s">
        <v>1674</v>
      </c>
      <c r="D375" s="60"/>
      <c r="E375" s="16" t="s">
        <v>45</v>
      </c>
      <c r="F375" s="313">
        <v>46006</v>
      </c>
      <c r="G375" s="199"/>
      <c r="H375" s="56"/>
      <c r="I375" s="235">
        <v>4546076738</v>
      </c>
      <c r="J375" s="839">
        <v>4548592263</v>
      </c>
      <c r="K375" s="248"/>
      <c r="L375" s="126"/>
      <c r="M375" s="16" t="s">
        <v>73</v>
      </c>
      <c r="N375" s="829"/>
      <c r="O375" s="56" t="s">
        <v>1712</v>
      </c>
      <c r="P375" s="56"/>
      <c r="Q375" s="260" t="s">
        <v>1190</v>
      </c>
      <c r="R375" s="66" t="s">
        <v>15</v>
      </c>
      <c r="S375" s="16" t="s">
        <v>15</v>
      </c>
      <c r="T375" s="16">
        <v>54.08</v>
      </c>
      <c r="U375" s="112">
        <v>1</v>
      </c>
      <c r="V375" s="248"/>
      <c r="W375" s="66"/>
      <c r="X375" s="56"/>
      <c r="Y375" s="58" t="s">
        <v>1726</v>
      </c>
      <c r="Z375" s="679" t="s">
        <v>279</v>
      </c>
    </row>
    <row r="376" spans="1:26" s="11" customFormat="1" ht="28.5" customHeight="1">
      <c r="A376" s="498" t="s">
        <v>1222</v>
      </c>
      <c r="B376" s="499">
        <v>46000</v>
      </c>
      <c r="C376" s="500" t="s">
        <v>1678</v>
      </c>
      <c r="D376" s="501"/>
      <c r="E376" s="505" t="s">
        <v>1734</v>
      </c>
      <c r="F376" s="500" t="s">
        <v>1735</v>
      </c>
      <c r="G376" s="502"/>
      <c r="H376" s="500" t="s">
        <v>1711</v>
      </c>
      <c r="I376" s="709"/>
      <c r="J376" s="852"/>
      <c r="K376" s="503"/>
      <c r="L376" s="504" t="s">
        <v>1679</v>
      </c>
      <c r="M376" s="505" t="s">
        <v>73</v>
      </c>
      <c r="N376" s="505"/>
      <c r="O376" s="500" t="s">
        <v>1711</v>
      </c>
      <c r="P376" s="500"/>
      <c r="Q376" s="506"/>
      <c r="R376" s="499"/>
      <c r="S376" s="505"/>
      <c r="T376" s="505"/>
      <c r="U376" s="505"/>
      <c r="V376" s="507"/>
      <c r="W376" s="499"/>
      <c r="X376" s="500"/>
      <c r="Y376" s="505" t="s">
        <v>1744</v>
      </c>
      <c r="Z376" s="500" t="s">
        <v>1225</v>
      </c>
    </row>
    <row r="377" spans="1:26" s="11" customFormat="1" ht="82.8">
      <c r="A377" t="s">
        <v>1312</v>
      </c>
      <c r="B377" s="583">
        <v>46000</v>
      </c>
      <c r="C377" s="513" t="s">
        <v>1680</v>
      </c>
      <c r="D377" s="60"/>
      <c r="E377" s="16" t="s">
        <v>45</v>
      </c>
      <c r="F377" s="313">
        <v>46006</v>
      </c>
      <c r="G377" s="199"/>
      <c r="H377" s="56" t="s">
        <v>1685</v>
      </c>
      <c r="I377" s="696">
        <v>4548376598</v>
      </c>
      <c r="J377" s="57"/>
      <c r="K377" s="248"/>
      <c r="L377" s="126" t="s">
        <v>1681</v>
      </c>
      <c r="M377" s="16" t="s">
        <v>73</v>
      </c>
      <c r="N377" s="829"/>
      <c r="O377" s="56" t="s">
        <v>1714</v>
      </c>
      <c r="P377" s="56"/>
      <c r="Q377" s="260" t="s">
        <v>1190</v>
      </c>
      <c r="R377" s="66" t="s">
        <v>15</v>
      </c>
      <c r="S377" s="16" t="s">
        <v>15</v>
      </c>
      <c r="T377" s="16">
        <v>176.02000000000004</v>
      </c>
      <c r="U377" s="112">
        <v>1</v>
      </c>
      <c r="V377" s="204"/>
      <c r="W377" s="66"/>
      <c r="X377" s="56"/>
      <c r="Y377" s="58" t="s">
        <v>1727</v>
      </c>
      <c r="Z377" s="679" t="s">
        <v>852</v>
      </c>
    </row>
    <row r="378" spans="1:26" s="18" customFormat="1" ht="82.8">
      <c r="A378" s="13" t="s">
        <v>1312</v>
      </c>
      <c r="B378" s="583">
        <v>46000</v>
      </c>
      <c r="C378" s="513" t="s">
        <v>1682</v>
      </c>
      <c r="D378" s="60"/>
      <c r="E378" s="16" t="s">
        <v>45</v>
      </c>
      <c r="F378" s="313">
        <v>46006</v>
      </c>
      <c r="G378" s="199"/>
      <c r="H378" s="56" t="s">
        <v>1683</v>
      </c>
      <c r="I378" s="235">
        <v>4548376597</v>
      </c>
      <c r="J378" s="839"/>
      <c r="K378" s="248"/>
      <c r="L378" s="126" t="s">
        <v>1684</v>
      </c>
      <c r="M378" s="16" t="s">
        <v>73</v>
      </c>
      <c r="N378" s="829"/>
      <c r="O378" s="56" t="s">
        <v>1715</v>
      </c>
      <c r="P378" s="56"/>
      <c r="Q378" s="260" t="s">
        <v>1190</v>
      </c>
      <c r="R378" s="66" t="s">
        <v>15</v>
      </c>
      <c r="S378" s="16" t="s">
        <v>15</v>
      </c>
      <c r="T378" s="16">
        <v>189.10000000000002</v>
      </c>
      <c r="U378" s="112">
        <v>1</v>
      </c>
      <c r="V378" s="248"/>
      <c r="W378" s="66"/>
      <c r="X378" s="56"/>
      <c r="Y378" s="16" t="s">
        <v>1728</v>
      </c>
      <c r="Z378" s="679" t="s">
        <v>852</v>
      </c>
    </row>
    <row r="379" spans="1:26" s="11" customFormat="1" ht="14.7" customHeight="1">
      <c r="A379" s="204" t="s">
        <v>443</v>
      </c>
      <c r="B379" s="583">
        <v>46000</v>
      </c>
      <c r="C379" s="513" t="s">
        <v>1686</v>
      </c>
      <c r="D379" s="60"/>
      <c r="E379" s="16" t="s">
        <v>45</v>
      </c>
      <c r="F379" s="283">
        <v>46001</v>
      </c>
      <c r="G379" s="199"/>
      <c r="H379" s="56"/>
      <c r="I379" s="605"/>
      <c r="J379" s="57"/>
      <c r="K379" s="248"/>
      <c r="L379" s="126" t="s">
        <v>1687</v>
      </c>
      <c r="M379" s="16" t="s">
        <v>73</v>
      </c>
      <c r="N379" s="829" t="s">
        <v>1689</v>
      </c>
      <c r="O379" s="56" t="s">
        <v>15</v>
      </c>
      <c r="P379" s="56" t="s">
        <v>15</v>
      </c>
      <c r="Q379" s="260" t="s">
        <v>15</v>
      </c>
      <c r="R379" s="66" t="s">
        <v>15</v>
      </c>
      <c r="S379" s="16" t="s">
        <v>15</v>
      </c>
      <c r="T379" s="16" t="s">
        <v>15</v>
      </c>
      <c r="U379" s="16" t="s">
        <v>15</v>
      </c>
      <c r="V379" s="405" t="s">
        <v>1690</v>
      </c>
      <c r="W379" s="66" t="s">
        <v>881</v>
      </c>
      <c r="X379" s="16" t="s">
        <v>1691</v>
      </c>
      <c r="Y379" s="58">
        <v>142.46</v>
      </c>
      <c r="Z379" s="679" t="s">
        <v>279</v>
      </c>
    </row>
    <row r="380" spans="1:26" s="11" customFormat="1" ht="14.7" customHeight="1">
      <c r="A380" s="204" t="s">
        <v>1769</v>
      </c>
      <c r="B380" s="583">
        <v>46001</v>
      </c>
      <c r="C380" s="513" t="s">
        <v>1688</v>
      </c>
      <c r="D380" s="60"/>
      <c r="E380" s="421" t="s">
        <v>45</v>
      </c>
      <c r="F380" s="283">
        <v>46009</v>
      </c>
      <c r="G380" s="199"/>
      <c r="H380" s="56"/>
      <c r="I380" s="605"/>
      <c r="J380" s="57"/>
      <c r="K380" s="248"/>
      <c r="L380" s="126"/>
      <c r="M380" s="16" t="s">
        <v>73</v>
      </c>
      <c r="N380" s="829"/>
      <c r="O380" s="56" t="s">
        <v>1719</v>
      </c>
      <c r="P380" s="56"/>
      <c r="Q380" s="260"/>
      <c r="R380" s="66"/>
      <c r="S380" s="16"/>
      <c r="T380" s="16"/>
      <c r="U380" s="16"/>
      <c r="V380" s="204"/>
      <c r="W380" s="66" t="s">
        <v>1770</v>
      </c>
      <c r="X380" s="56" t="s">
        <v>1771</v>
      </c>
      <c r="Y380" s="16" t="s">
        <v>1772</v>
      </c>
      <c r="Z380" s="679" t="s">
        <v>1216</v>
      </c>
    </row>
    <row r="381" spans="1:26" s="468" customFormat="1" ht="27.6">
      <c r="A381" s="469" t="s">
        <v>443</v>
      </c>
      <c r="B381" s="437">
        <v>46001</v>
      </c>
      <c r="C381" s="438" t="s">
        <v>1692</v>
      </c>
      <c r="D381" s="443"/>
      <c r="E381" s="439" t="s">
        <v>45</v>
      </c>
      <c r="F381" s="470">
        <v>46001</v>
      </c>
      <c r="G381" s="441"/>
      <c r="H381" s="438"/>
      <c r="I381" s="710"/>
      <c r="J381" s="444">
        <v>4548576182</v>
      </c>
      <c r="K381" s="469"/>
      <c r="L381" s="471" t="s">
        <v>1693</v>
      </c>
      <c r="M381" s="439" t="s">
        <v>73</v>
      </c>
      <c r="N381" s="721"/>
      <c r="O381" s="438" t="s">
        <v>1716</v>
      </c>
      <c r="P381" s="438"/>
      <c r="Q381" s="466" t="s">
        <v>1190</v>
      </c>
      <c r="R381" s="437" t="s">
        <v>15</v>
      </c>
      <c r="S381" s="439" t="s">
        <v>15</v>
      </c>
      <c r="T381" s="439">
        <v>425.75000000000006</v>
      </c>
      <c r="U381" s="467">
        <v>1</v>
      </c>
      <c r="V381" s="469"/>
      <c r="W381" s="437" t="s">
        <v>1729</v>
      </c>
      <c r="X381" s="439" t="s">
        <v>1730</v>
      </c>
      <c r="Y381" s="439" t="s">
        <v>1731</v>
      </c>
      <c r="Z381" s="438" t="s">
        <v>279</v>
      </c>
    </row>
    <row r="382" spans="1:26" s="468" customFormat="1" ht="41.4">
      <c r="A382" s="436" t="s">
        <v>1698</v>
      </c>
      <c r="B382" s="437">
        <v>46002</v>
      </c>
      <c r="C382" s="438">
        <v>20136380</v>
      </c>
      <c r="D382" s="438"/>
      <c r="E382" s="721" t="s">
        <v>45</v>
      </c>
      <c r="F382" s="722">
        <v>46006</v>
      </c>
      <c r="G382" s="441"/>
      <c r="H382" s="438" t="s">
        <v>1697</v>
      </c>
      <c r="I382" s="464"/>
      <c r="J382" s="444">
        <v>4549058361</v>
      </c>
      <c r="K382" s="436"/>
      <c r="L382" s="464"/>
      <c r="M382" s="721" t="s">
        <v>73</v>
      </c>
      <c r="N382" s="721"/>
      <c r="O382" s="438" t="s">
        <v>1717</v>
      </c>
      <c r="P382" s="438"/>
      <c r="Q382" s="458" t="s">
        <v>1190</v>
      </c>
      <c r="R382" s="437" t="s">
        <v>15</v>
      </c>
      <c r="S382" s="721" t="s">
        <v>15</v>
      </c>
      <c r="T382" s="721">
        <v>32.74</v>
      </c>
      <c r="U382" s="467">
        <v>1</v>
      </c>
      <c r="V382" s="436"/>
      <c r="W382" s="437" t="s">
        <v>1086</v>
      </c>
      <c r="X382" s="721" t="s">
        <v>1732</v>
      </c>
      <c r="Y382" s="721" t="s">
        <v>1733</v>
      </c>
      <c r="Z382" s="438" t="s">
        <v>1699</v>
      </c>
    </row>
    <row r="383" spans="1:26" s="18" customFormat="1" ht="124.2">
      <c r="A383" s="246" t="s">
        <v>1702</v>
      </c>
      <c r="B383" s="88">
        <v>46002</v>
      </c>
      <c r="C383" s="62" t="s">
        <v>1700</v>
      </c>
      <c r="D383" s="239"/>
      <c r="E383" s="22" t="s">
        <v>45</v>
      </c>
      <c r="F383" s="377">
        <v>46006</v>
      </c>
      <c r="G383" s="201"/>
      <c r="H383" s="62"/>
      <c r="I383" s="711"/>
      <c r="J383" s="96"/>
      <c r="K383" s="246"/>
      <c r="L383" s="247"/>
      <c r="M383" s="22" t="s">
        <v>73</v>
      </c>
      <c r="N383" s="22"/>
      <c r="O383" s="62" t="s">
        <v>1740</v>
      </c>
      <c r="P383" s="62"/>
      <c r="Q383" s="270" t="s">
        <v>1190</v>
      </c>
      <c r="R383" s="88" t="s">
        <v>15</v>
      </c>
      <c r="S383" s="22" t="s">
        <v>15</v>
      </c>
      <c r="T383" s="22">
        <v>1705</v>
      </c>
      <c r="U383" s="121">
        <v>1</v>
      </c>
      <c r="V383" s="246"/>
      <c r="W383" s="88" t="s">
        <v>1741</v>
      </c>
      <c r="X383" s="22" t="s">
        <v>1742</v>
      </c>
      <c r="Y383" s="22" t="s">
        <v>1743</v>
      </c>
      <c r="Z383" s="62" t="s">
        <v>1701</v>
      </c>
    </row>
    <row r="384" spans="1:26" s="11" customFormat="1" ht="26.25" customHeight="1">
      <c r="A384" s="139" t="s">
        <v>443</v>
      </c>
      <c r="B384" s="583">
        <v>46007</v>
      </c>
      <c r="C384" s="561" t="s">
        <v>1747</v>
      </c>
      <c r="D384" s="60"/>
      <c r="E384" s="838">
        <v>46010</v>
      </c>
      <c r="F384" s="58" t="s">
        <v>454</v>
      </c>
      <c r="G384" s="199"/>
      <c r="H384" s="60" t="s">
        <v>1748</v>
      </c>
      <c r="I384" s="605"/>
      <c r="J384" s="57"/>
      <c r="K384" s="248"/>
      <c r="L384" s="168"/>
      <c r="M384" s="16" t="s">
        <v>73</v>
      </c>
      <c r="N384" s="829"/>
      <c r="O384" s="56"/>
      <c r="P384" s="56"/>
      <c r="Q384" s="260"/>
      <c r="R384" s="66"/>
      <c r="S384" s="16"/>
      <c r="T384" s="16"/>
      <c r="U384" s="16"/>
      <c r="V384" s="204"/>
      <c r="W384" s="66"/>
      <c r="X384" s="56"/>
      <c r="Y384" s="16"/>
      <c r="Z384" s="679" t="s">
        <v>279</v>
      </c>
    </row>
    <row r="385" spans="1:26" s="11" customFormat="1" ht="31.5" customHeight="1">
      <c r="A385" s="417" t="s">
        <v>1664</v>
      </c>
      <c r="B385" s="583">
        <v>46008</v>
      </c>
      <c r="C385" s="513" t="s">
        <v>1666</v>
      </c>
      <c r="D385" s="60"/>
      <c r="E385" s="426" t="s">
        <v>45</v>
      </c>
      <c r="F385" s="427">
        <v>46009</v>
      </c>
      <c r="G385" s="199"/>
      <c r="H385" s="56" t="s">
        <v>1749</v>
      </c>
      <c r="I385" s="605"/>
      <c r="J385" s="57"/>
      <c r="K385" s="248"/>
      <c r="L385" s="102" t="s">
        <v>1750</v>
      </c>
      <c r="M385" s="16" t="s">
        <v>73</v>
      </c>
      <c r="N385" s="829" t="s">
        <v>15</v>
      </c>
      <c r="O385" s="56" t="s">
        <v>15</v>
      </c>
      <c r="P385" s="420" t="s">
        <v>15</v>
      </c>
      <c r="Q385" s="260" t="s">
        <v>1380</v>
      </c>
      <c r="R385" s="66" t="s">
        <v>15</v>
      </c>
      <c r="S385" s="420" t="s">
        <v>15</v>
      </c>
      <c r="T385" s="16">
        <v>54.1</v>
      </c>
      <c r="U385" s="112">
        <v>1</v>
      </c>
      <c r="V385" s="204"/>
      <c r="W385" s="66"/>
      <c r="X385" s="56"/>
      <c r="Y385" s="16"/>
      <c r="Z385" s="679" t="s">
        <v>1216</v>
      </c>
    </row>
    <row r="386" spans="1:26" s="11" customFormat="1" ht="14.7" customHeight="1">
      <c r="A386" t="s">
        <v>1796</v>
      </c>
      <c r="B386" s="583">
        <v>46008</v>
      </c>
      <c r="C386" s="513" t="s">
        <v>1752</v>
      </c>
      <c r="D386" s="60"/>
      <c r="E386" s="56"/>
      <c r="F386" s="204"/>
      <c r="G386" s="199"/>
      <c r="H386" s="56"/>
      <c r="I386" s="605"/>
      <c r="J386" s="57"/>
      <c r="K386" s="248"/>
      <c r="L386" s="102" t="s">
        <v>1783</v>
      </c>
      <c r="M386" s="16" t="s">
        <v>73</v>
      </c>
      <c r="N386" s="829"/>
      <c r="O386" s="56"/>
      <c r="P386" s="56"/>
      <c r="Q386" s="260"/>
      <c r="R386" s="66"/>
      <c r="S386" s="16"/>
      <c r="T386" s="16"/>
      <c r="U386" s="16"/>
      <c r="V386" s="204"/>
      <c r="W386" s="66"/>
      <c r="X386" s="56"/>
      <c r="Y386" s="16"/>
      <c r="Z386" s="679" t="s">
        <v>1676</v>
      </c>
    </row>
    <row r="387" spans="1:26" s="11" customFormat="1" ht="14.7" customHeight="1">
      <c r="A387" s="418" t="s">
        <v>1757</v>
      </c>
      <c r="B387" s="583">
        <v>46008</v>
      </c>
      <c r="C387" s="513" t="s">
        <v>1753</v>
      </c>
      <c r="D387" s="16"/>
      <c r="E387" s="16" t="s">
        <v>45</v>
      </c>
      <c r="F387" s="283">
        <v>46008</v>
      </c>
      <c r="G387" s="199"/>
      <c r="H387" s="56" t="s">
        <v>1762</v>
      </c>
      <c r="I387" s="605"/>
      <c r="J387" s="57"/>
      <c r="K387" s="248"/>
      <c r="L387" s="168"/>
      <c r="M387" s="16" t="s">
        <v>73</v>
      </c>
      <c r="N387" s="829" t="s">
        <v>1327</v>
      </c>
      <c r="O387" s="16" t="s">
        <v>1327</v>
      </c>
      <c r="P387" s="16" t="s">
        <v>1327</v>
      </c>
      <c r="Q387" s="260" t="s">
        <v>1327</v>
      </c>
      <c r="R387" s="66"/>
      <c r="S387" s="16"/>
      <c r="T387" s="16"/>
      <c r="U387" s="16"/>
      <c r="V387" s="204"/>
      <c r="W387" s="66" t="s">
        <v>1754</v>
      </c>
      <c r="X387" s="16">
        <v>9.49</v>
      </c>
      <c r="Y387" s="16" t="s">
        <v>1756</v>
      </c>
      <c r="Z387" s="679" t="s">
        <v>1755</v>
      </c>
    </row>
    <row r="388" spans="1:26" s="620" customFormat="1" ht="40.5" customHeight="1">
      <c r="A388" s="611" t="s">
        <v>1759</v>
      </c>
      <c r="B388" s="612">
        <v>46009</v>
      </c>
      <c r="C388" s="613" t="s">
        <v>1758</v>
      </c>
      <c r="D388" s="614" t="s">
        <v>966</v>
      </c>
      <c r="E388" s="614" t="s">
        <v>45</v>
      </c>
      <c r="F388" s="612">
        <v>46009</v>
      </c>
      <c r="G388" s="615"/>
      <c r="H388" s="613" t="s">
        <v>1758</v>
      </c>
      <c r="I388" s="871" t="s">
        <v>1760</v>
      </c>
      <c r="J388" s="853" t="s">
        <v>1920</v>
      </c>
      <c r="K388" s="616"/>
      <c r="L388" s="617" t="s">
        <v>1763</v>
      </c>
      <c r="M388" s="614" t="s">
        <v>73</v>
      </c>
      <c r="N388" s="614"/>
      <c r="O388" s="613"/>
      <c r="P388" s="613"/>
      <c r="Q388" s="618"/>
      <c r="R388" s="612"/>
      <c r="S388" s="614"/>
      <c r="T388" s="614"/>
      <c r="U388" s="614"/>
      <c r="V388" s="619"/>
      <c r="W388" s="612"/>
      <c r="X388" s="614"/>
      <c r="Y388" s="614"/>
      <c r="Z388" s="613" t="s">
        <v>1761</v>
      </c>
    </row>
    <row r="389" spans="1:26" s="11" customFormat="1" ht="33" customHeight="1">
      <c r="A389" s="418" t="s">
        <v>842</v>
      </c>
      <c r="B389" s="583">
        <v>46009</v>
      </c>
      <c r="C389" s="513" t="s">
        <v>1773</v>
      </c>
      <c r="D389" s="60"/>
      <c r="E389" s="426" t="s">
        <v>45</v>
      </c>
      <c r="F389" s="428">
        <v>46010</v>
      </c>
      <c r="G389" s="427" t="s">
        <v>1327</v>
      </c>
      <c r="H389" s="422" t="s">
        <v>1774</v>
      </c>
      <c r="I389" s="235">
        <v>4542596001</v>
      </c>
      <c r="J389" s="57"/>
      <c r="K389" s="248"/>
      <c r="L389" s="168"/>
      <c r="M389" s="16" t="s">
        <v>73</v>
      </c>
      <c r="N389" s="829" t="s">
        <v>1327</v>
      </c>
      <c r="O389" s="426" t="s">
        <v>1327</v>
      </c>
      <c r="P389" s="426" t="s">
        <v>1327</v>
      </c>
      <c r="Q389" s="260" t="s">
        <v>1327</v>
      </c>
      <c r="R389" s="66"/>
      <c r="S389" s="16"/>
      <c r="T389" s="16"/>
      <c r="U389" s="16"/>
      <c r="V389" s="204"/>
      <c r="W389" s="66" t="s">
        <v>1252</v>
      </c>
      <c r="X389" s="429">
        <v>4.0199999999999996</v>
      </c>
      <c r="Y389" s="16" t="s">
        <v>1784</v>
      </c>
      <c r="Z389" s="679" t="s">
        <v>852</v>
      </c>
    </row>
    <row r="390" spans="1:26" s="460" customFormat="1" ht="27.75" customHeight="1">
      <c r="A390" s="578" t="s">
        <v>933</v>
      </c>
      <c r="B390" s="580">
        <v>46010</v>
      </c>
      <c r="C390" s="573" t="s">
        <v>1775</v>
      </c>
      <c r="D390" s="576" t="s">
        <v>966</v>
      </c>
      <c r="E390" s="576" t="s">
        <v>45</v>
      </c>
      <c r="F390" s="577">
        <v>46041</v>
      </c>
      <c r="G390" s="441"/>
      <c r="H390" s="443" t="s">
        <v>1776</v>
      </c>
      <c r="I390" s="712"/>
      <c r="J390" s="444">
        <v>4549023462</v>
      </c>
      <c r="K390" s="436"/>
      <c r="L390" s="579" t="s">
        <v>1777</v>
      </c>
      <c r="M390" s="576" t="s">
        <v>73</v>
      </c>
      <c r="N390" s="721"/>
      <c r="O390" s="443" t="s">
        <v>1852</v>
      </c>
      <c r="P390" s="438"/>
      <c r="Q390" s="458" t="s">
        <v>1790</v>
      </c>
      <c r="R390" s="437"/>
      <c r="S390" s="576">
        <v>0.5</v>
      </c>
      <c r="T390" s="576">
        <f>(2*12.2)+(2*4.17)</f>
        <v>32.739999999999995</v>
      </c>
      <c r="U390" s="467">
        <v>1</v>
      </c>
      <c r="V390" s="459"/>
      <c r="W390" s="437" t="s">
        <v>1086</v>
      </c>
      <c r="X390" s="576" t="s">
        <v>1862</v>
      </c>
      <c r="Y390" s="444" t="s">
        <v>1861</v>
      </c>
      <c r="Z390" s="438" t="s">
        <v>1780</v>
      </c>
    </row>
    <row r="391" spans="1:26" s="460" customFormat="1" ht="14.7" customHeight="1">
      <c r="A391" s="551" t="s">
        <v>933</v>
      </c>
      <c r="B391" s="437">
        <v>46010</v>
      </c>
      <c r="C391" s="438" t="s">
        <v>1778</v>
      </c>
      <c r="D391" s="439" t="s">
        <v>966</v>
      </c>
      <c r="E391" s="439" t="s">
        <v>45</v>
      </c>
      <c r="F391" s="455">
        <v>46041</v>
      </c>
      <c r="G391" s="441"/>
      <c r="H391" s="438" t="s">
        <v>1779</v>
      </c>
      <c r="I391" s="712"/>
      <c r="J391" s="851"/>
      <c r="K391" s="436"/>
      <c r="L391" s="456" t="s">
        <v>1781</v>
      </c>
      <c r="M391" s="439" t="s">
        <v>73</v>
      </c>
      <c r="N391" s="721"/>
      <c r="O391" s="438" t="s">
        <v>1853</v>
      </c>
      <c r="P391" s="438"/>
      <c r="Q391" s="458" t="s">
        <v>1790</v>
      </c>
      <c r="R391" s="437"/>
      <c r="S391" s="439">
        <v>0.5</v>
      </c>
      <c r="T391" s="439">
        <f>5*11.18</f>
        <v>55.9</v>
      </c>
      <c r="U391" s="467">
        <v>1</v>
      </c>
      <c r="V391" s="459"/>
      <c r="W391" s="437"/>
      <c r="X391" s="439"/>
      <c r="Y391" s="439" t="s">
        <v>1860</v>
      </c>
      <c r="Z391" s="438" t="s">
        <v>427</v>
      </c>
    </row>
    <row r="392" spans="1:26" s="460" customFormat="1" ht="14.7" customHeight="1">
      <c r="A392" s="454" t="s">
        <v>184</v>
      </c>
      <c r="B392" s="437">
        <v>46010</v>
      </c>
      <c r="C392" s="491" t="s">
        <v>1782</v>
      </c>
      <c r="D392" s="443"/>
      <c r="E392" s="439" t="s">
        <v>45</v>
      </c>
      <c r="F392" s="455">
        <v>46013</v>
      </c>
      <c r="G392" s="441"/>
      <c r="H392" s="438"/>
      <c r="I392" s="712"/>
      <c r="J392" s="851"/>
      <c r="K392" s="436"/>
      <c r="L392" s="457">
        <v>920351975301</v>
      </c>
      <c r="M392" s="439" t="s">
        <v>73</v>
      </c>
      <c r="N392" s="721"/>
      <c r="O392" s="438"/>
      <c r="P392" s="438"/>
      <c r="Q392" s="458"/>
      <c r="R392" s="437"/>
      <c r="S392" s="439"/>
      <c r="T392" s="439"/>
      <c r="U392" s="439"/>
      <c r="V392" s="459"/>
      <c r="W392" s="437" t="s">
        <v>1787</v>
      </c>
      <c r="X392" s="439">
        <v>213.49</v>
      </c>
      <c r="Y392" s="439" t="s">
        <v>1788</v>
      </c>
      <c r="Z392" s="438" t="s">
        <v>122</v>
      </c>
    </row>
    <row r="393" spans="1:26" s="460" customFormat="1" ht="14.7" customHeight="1">
      <c r="A393" s="487" t="s">
        <v>842</v>
      </c>
      <c r="B393" s="437">
        <v>46013</v>
      </c>
      <c r="C393" s="438" t="s">
        <v>1785</v>
      </c>
      <c r="D393" s="443"/>
      <c r="E393" s="439" t="s">
        <v>45</v>
      </c>
      <c r="F393" s="455">
        <v>46035</v>
      </c>
      <c r="G393" s="441"/>
      <c r="H393" s="438"/>
      <c r="I393" s="712"/>
      <c r="J393" s="851"/>
      <c r="K393" s="436"/>
      <c r="L393" s="464"/>
      <c r="M393" s="439" t="s">
        <v>73</v>
      </c>
      <c r="N393" s="721"/>
      <c r="O393" s="486" t="s">
        <v>1821</v>
      </c>
      <c r="P393" s="438"/>
      <c r="Q393" s="458" t="s">
        <v>1790</v>
      </c>
      <c r="R393" s="437"/>
      <c r="S393" s="439">
        <v>0.5</v>
      </c>
      <c r="T393" s="439">
        <f>12.29*3</f>
        <v>36.869999999999997</v>
      </c>
      <c r="U393" s="467">
        <v>1</v>
      </c>
      <c r="V393" s="459"/>
      <c r="W393" s="437" t="s">
        <v>1824</v>
      </c>
      <c r="X393" s="439">
        <v>12.29</v>
      </c>
      <c r="Y393" s="444" t="s">
        <v>1831</v>
      </c>
      <c r="Z393" s="682" t="s">
        <v>852</v>
      </c>
    </row>
    <row r="394" spans="1:26" s="485" customFormat="1" ht="14.7" customHeight="1">
      <c r="A394" s="488" t="s">
        <v>842</v>
      </c>
      <c r="B394" s="473">
        <v>46013</v>
      </c>
      <c r="C394" s="477" t="s">
        <v>1786</v>
      </c>
      <c r="D394" s="474"/>
      <c r="E394" s="480" t="s">
        <v>45</v>
      </c>
      <c r="F394" s="475">
        <v>46004</v>
      </c>
      <c r="G394" s="476"/>
      <c r="H394" s="477"/>
      <c r="I394" s="713"/>
      <c r="J394" s="854"/>
      <c r="K394" s="478"/>
      <c r="L394" s="479"/>
      <c r="M394" s="480" t="s">
        <v>73</v>
      </c>
      <c r="N394" s="480"/>
      <c r="O394" s="474" t="s">
        <v>1822</v>
      </c>
      <c r="P394" s="477"/>
      <c r="Q394" s="481" t="s">
        <v>1790</v>
      </c>
      <c r="R394" s="473"/>
      <c r="S394" s="480">
        <v>0.5</v>
      </c>
      <c r="T394" s="480">
        <f>73.34*2</f>
        <v>146.68</v>
      </c>
      <c r="U394" s="482">
        <v>1</v>
      </c>
      <c r="V394" s="483"/>
      <c r="W394" s="473" t="s">
        <v>1823</v>
      </c>
      <c r="X394" s="484">
        <v>73.34</v>
      </c>
      <c r="Y394" s="484" t="s">
        <v>1830</v>
      </c>
      <c r="Z394" s="477" t="s">
        <v>852</v>
      </c>
    </row>
    <row r="395" spans="1:26" s="11" customFormat="1" ht="14.7" customHeight="1">
      <c r="A395" t="s">
        <v>1222</v>
      </c>
      <c r="B395" s="583">
        <v>46027</v>
      </c>
      <c r="C395" s="513">
        <v>20134274</v>
      </c>
      <c r="D395" s="60"/>
      <c r="E395" s="58" t="s">
        <v>618</v>
      </c>
      <c r="F395" s="283">
        <v>46036</v>
      </c>
      <c r="G395" s="199"/>
      <c r="H395" s="58" t="s">
        <v>618</v>
      </c>
      <c r="I395" s="605"/>
      <c r="J395" s="57"/>
      <c r="K395" s="248"/>
      <c r="L395" s="168" t="s">
        <v>1789</v>
      </c>
      <c r="M395" s="424" t="s">
        <v>73</v>
      </c>
      <c r="N395" s="829"/>
      <c r="O395" s="423"/>
      <c r="P395" s="423"/>
      <c r="Q395" s="260"/>
      <c r="R395" s="425"/>
      <c r="S395" s="424"/>
      <c r="T395" s="424"/>
      <c r="U395" s="424"/>
      <c r="V395" s="204"/>
      <c r="W395" s="425"/>
      <c r="X395" s="423"/>
      <c r="Y395" s="424"/>
      <c r="Z395" s="679" t="s">
        <v>1225</v>
      </c>
    </row>
    <row r="396" spans="1:26" s="468" customFormat="1" ht="55.5" customHeight="1">
      <c r="A396" s="491" t="s">
        <v>1798</v>
      </c>
      <c r="B396" s="437">
        <v>46029</v>
      </c>
      <c r="C396" s="438" t="s">
        <v>1797</v>
      </c>
      <c r="D396" s="438"/>
      <c r="E396" s="676" t="s">
        <v>45</v>
      </c>
      <c r="F396" s="463">
        <v>46035</v>
      </c>
      <c r="G396" s="441"/>
      <c r="H396" s="438"/>
      <c r="I396" s="579"/>
      <c r="J396" s="444">
        <v>4549313053</v>
      </c>
      <c r="K396" s="436"/>
      <c r="L396" s="464" t="s">
        <v>1802</v>
      </c>
      <c r="M396" s="675" t="s">
        <v>73</v>
      </c>
      <c r="N396" s="721"/>
      <c r="O396" s="674" t="s">
        <v>1811</v>
      </c>
      <c r="P396" s="438"/>
      <c r="Q396" s="466" t="s">
        <v>1790</v>
      </c>
      <c r="R396" s="437" t="s">
        <v>15</v>
      </c>
      <c r="S396" s="675">
        <v>0.5</v>
      </c>
      <c r="T396" s="675">
        <f>(2*26.28)+(1*26.44)+(1*70.88)</f>
        <v>149.88</v>
      </c>
      <c r="U396" s="467">
        <v>1</v>
      </c>
      <c r="V396" s="436"/>
      <c r="W396" s="437" t="s">
        <v>1812</v>
      </c>
      <c r="X396" s="675">
        <f>26.28+26.44+70.88</f>
        <v>123.6</v>
      </c>
      <c r="Y396" s="675">
        <f>T396+78.3</f>
        <v>228.18</v>
      </c>
      <c r="Z396" s="438" t="s">
        <v>1799</v>
      </c>
    </row>
    <row r="397" spans="1:26" s="11" customFormat="1" ht="30.75" customHeight="1">
      <c r="A397" s="472" t="s">
        <v>1798</v>
      </c>
      <c r="B397" s="445">
        <v>46029</v>
      </c>
      <c r="C397" s="442" t="s">
        <v>1800</v>
      </c>
      <c r="D397" s="453" t="s">
        <v>1813</v>
      </c>
      <c r="E397" s="462" t="s">
        <v>45</v>
      </c>
      <c r="F397" s="463">
        <v>46035</v>
      </c>
      <c r="G397" s="447"/>
      <c r="H397" s="442"/>
      <c r="I397" s="714"/>
      <c r="J397" s="855"/>
      <c r="K397" s="448"/>
      <c r="L397" s="449" t="s">
        <v>1801</v>
      </c>
      <c r="M397" s="450" t="s">
        <v>73</v>
      </c>
      <c r="N397" s="826"/>
      <c r="O397" s="453" t="s">
        <v>1813</v>
      </c>
      <c r="P397" s="442"/>
      <c r="Q397" s="451"/>
      <c r="R397" s="445"/>
      <c r="S397" s="450"/>
      <c r="T397" s="450"/>
      <c r="U397" s="450"/>
      <c r="V397" s="446"/>
      <c r="W397" s="445"/>
      <c r="X397" s="442"/>
      <c r="Y397" s="450"/>
      <c r="Z397" s="442" t="s">
        <v>1799</v>
      </c>
    </row>
    <row r="398" spans="1:26" s="460" customFormat="1" ht="30.75" customHeight="1">
      <c r="A398" s="469" t="s">
        <v>443</v>
      </c>
      <c r="B398" s="580">
        <v>46030</v>
      </c>
      <c r="C398" s="465" t="s">
        <v>1833</v>
      </c>
      <c r="D398" s="535"/>
      <c r="E398" s="462" t="s">
        <v>45</v>
      </c>
      <c r="F398" s="552" t="s">
        <v>1863</v>
      </c>
      <c r="G398" s="536"/>
      <c r="H398" s="537" t="s">
        <v>1834</v>
      </c>
      <c r="I398" s="715">
        <v>4546705630</v>
      </c>
      <c r="J398" s="856"/>
      <c r="K398" s="538"/>
      <c r="L398" s="464" t="s">
        <v>1856</v>
      </c>
      <c r="M398" s="462"/>
      <c r="N398" s="723"/>
      <c r="O398" s="535" t="s">
        <v>1850</v>
      </c>
      <c r="P398" s="465"/>
      <c r="Q398" s="539" t="s">
        <v>1790</v>
      </c>
      <c r="R398" s="534" t="s">
        <v>15</v>
      </c>
      <c r="S398" s="462">
        <v>0.5</v>
      </c>
      <c r="T398" s="462">
        <v>23.2</v>
      </c>
      <c r="U398" s="540">
        <v>1</v>
      </c>
      <c r="V398" s="541"/>
      <c r="W398" s="534"/>
      <c r="X398" s="465"/>
      <c r="Y398" s="462" t="s">
        <v>1857</v>
      </c>
      <c r="Z398" s="442" t="s">
        <v>279</v>
      </c>
    </row>
    <row r="399" spans="1:26" s="460" customFormat="1" ht="48.75" customHeight="1">
      <c r="A399" s="508" t="s">
        <v>1806</v>
      </c>
      <c r="B399" s="473">
        <v>46030</v>
      </c>
      <c r="C399" s="474">
        <v>11871992</v>
      </c>
      <c r="D399" s="477"/>
      <c r="E399" s="480" t="s">
        <v>45</v>
      </c>
      <c r="F399" s="509">
        <v>46037</v>
      </c>
      <c r="G399" s="476"/>
      <c r="H399" s="544" t="s">
        <v>1960</v>
      </c>
      <c r="I399" s="716"/>
      <c r="J399" s="854"/>
      <c r="K399" s="511"/>
      <c r="L399" s="568" t="s">
        <v>1805</v>
      </c>
      <c r="M399" s="480" t="s">
        <v>73</v>
      </c>
      <c r="N399" s="480"/>
      <c r="O399" s="477" t="s">
        <v>1815</v>
      </c>
      <c r="P399" s="477"/>
      <c r="Q399" s="512" t="s">
        <v>1790</v>
      </c>
      <c r="R399" s="473" t="s">
        <v>15</v>
      </c>
      <c r="S399" s="480">
        <v>0.5</v>
      </c>
      <c r="T399" s="480">
        <f>(2*6.72)+(5*79.7)</f>
        <v>411.94</v>
      </c>
      <c r="U399" s="482">
        <v>1</v>
      </c>
      <c r="V399" s="510"/>
      <c r="W399" s="473" t="s">
        <v>1814</v>
      </c>
      <c r="X399" s="480">
        <f>6.72+79.7</f>
        <v>86.42</v>
      </c>
      <c r="Y399" s="480" t="s">
        <v>1837</v>
      </c>
      <c r="Z399" s="477" t="s">
        <v>1838</v>
      </c>
    </row>
    <row r="400" spans="1:26" s="468" customFormat="1" ht="55.2">
      <c r="A400" s="548" t="s">
        <v>842</v>
      </c>
      <c r="B400" s="437">
        <v>46034</v>
      </c>
      <c r="C400" s="547" t="s">
        <v>1808</v>
      </c>
      <c r="D400" s="443"/>
      <c r="E400" s="439" t="s">
        <v>45</v>
      </c>
      <c r="F400" s="470">
        <v>46041</v>
      </c>
      <c r="G400" s="441"/>
      <c r="H400" s="438" t="s">
        <v>1809</v>
      </c>
      <c r="I400" s="579"/>
      <c r="J400" s="444"/>
      <c r="K400" s="436"/>
      <c r="L400" s="550" t="s">
        <v>1817</v>
      </c>
      <c r="M400" s="439" t="s">
        <v>73</v>
      </c>
      <c r="N400" s="721"/>
      <c r="O400" s="438" t="s">
        <v>1851</v>
      </c>
      <c r="P400" s="438"/>
      <c r="Q400" s="458" t="s">
        <v>1790</v>
      </c>
      <c r="R400" s="437" t="s">
        <v>15</v>
      </c>
      <c r="S400" s="439">
        <v>0.5</v>
      </c>
      <c r="T400" s="439">
        <v>719.56</v>
      </c>
      <c r="U400" s="467">
        <v>1</v>
      </c>
      <c r="V400" s="436"/>
      <c r="W400" s="437"/>
      <c r="X400" s="438"/>
      <c r="Y400" s="439" t="s">
        <v>1859</v>
      </c>
      <c r="Z400" s="682" t="s">
        <v>852</v>
      </c>
    </row>
    <row r="401" spans="1:27" s="460" customFormat="1" ht="55.2">
      <c r="A401" s="549" t="s">
        <v>1312</v>
      </c>
      <c r="B401" s="437">
        <v>46034</v>
      </c>
      <c r="C401" s="465" t="s">
        <v>1827</v>
      </c>
      <c r="D401" s="443"/>
      <c r="E401" s="439" t="s">
        <v>45</v>
      </c>
      <c r="F401" s="470">
        <v>46041</v>
      </c>
      <c r="G401" s="441"/>
      <c r="H401" s="438" t="s">
        <v>1810</v>
      </c>
      <c r="I401" s="712"/>
      <c r="J401" s="851"/>
      <c r="K401" s="436"/>
      <c r="L401" s="546" t="s">
        <v>1816</v>
      </c>
      <c r="M401" s="439" t="s">
        <v>73</v>
      </c>
      <c r="N401" s="721"/>
      <c r="O401" s="438" t="s">
        <v>1828</v>
      </c>
      <c r="P401" s="438"/>
      <c r="Q401" s="458" t="s">
        <v>1790</v>
      </c>
      <c r="R401" s="437" t="s">
        <v>15</v>
      </c>
      <c r="S401" s="439">
        <v>0.5</v>
      </c>
      <c r="T401" s="439">
        <v>719.56</v>
      </c>
      <c r="U401" s="467">
        <v>1</v>
      </c>
      <c r="V401" s="459"/>
      <c r="W401" s="437"/>
      <c r="X401" s="438"/>
      <c r="Y401" s="439" t="s">
        <v>1859</v>
      </c>
      <c r="Z401" s="682" t="s">
        <v>852</v>
      </c>
    </row>
    <row r="402" spans="1:27" s="11" customFormat="1" ht="14.25" customHeight="1">
      <c r="A402" t="s">
        <v>1819</v>
      </c>
      <c r="B402" s="583">
        <v>46034</v>
      </c>
      <c r="C402" s="381" t="s">
        <v>1818</v>
      </c>
      <c r="D402" s="60"/>
      <c r="E402" s="58" t="s">
        <v>618</v>
      </c>
      <c r="F402" s="455">
        <v>46041</v>
      </c>
      <c r="G402" s="199"/>
      <c r="H402" s="430"/>
      <c r="I402" s="605"/>
      <c r="J402" s="57"/>
      <c r="K402" s="248"/>
      <c r="L402" s="452"/>
      <c r="M402" s="431" t="s">
        <v>73</v>
      </c>
      <c r="N402" s="829"/>
      <c r="O402" s="430"/>
      <c r="P402" s="430"/>
      <c r="Q402" s="260"/>
      <c r="R402" s="432"/>
      <c r="S402" s="431"/>
      <c r="T402" s="431"/>
      <c r="U402" s="431"/>
      <c r="V402" s="204"/>
      <c r="W402" s="432"/>
      <c r="X402" s="430"/>
      <c r="Y402" s="542"/>
      <c r="Z402" s="442" t="s">
        <v>1820</v>
      </c>
    </row>
    <row r="403" spans="1:27" s="460" customFormat="1" ht="104.1" customHeight="1">
      <c r="A403" s="461" t="s">
        <v>1829</v>
      </c>
      <c r="B403" s="437">
        <v>46035</v>
      </c>
      <c r="C403" s="545" t="s">
        <v>1826</v>
      </c>
      <c r="D403" s="443"/>
      <c r="E403" s="439" t="s">
        <v>45</v>
      </c>
      <c r="F403" s="470">
        <v>46041</v>
      </c>
      <c r="G403" s="441"/>
      <c r="H403" s="438" t="s">
        <v>1825</v>
      </c>
      <c r="I403" s="712"/>
      <c r="J403" s="851"/>
      <c r="K403" s="436"/>
      <c r="L403" s="464"/>
      <c r="M403" s="439" t="s">
        <v>73</v>
      </c>
      <c r="N403" s="721"/>
      <c r="O403" s="438" t="s">
        <v>1854</v>
      </c>
      <c r="P403" s="438"/>
      <c r="Q403" s="458" t="s">
        <v>1790</v>
      </c>
      <c r="R403" s="437"/>
      <c r="S403" s="439">
        <v>0.5</v>
      </c>
      <c r="T403" s="439">
        <v>24.42</v>
      </c>
      <c r="U403" s="467">
        <v>1</v>
      </c>
      <c r="V403" s="459"/>
      <c r="W403" s="437"/>
      <c r="X403" s="438"/>
      <c r="Y403" s="439" t="s">
        <v>1858</v>
      </c>
      <c r="Z403" s="438" t="s">
        <v>1609</v>
      </c>
    </row>
    <row r="404" spans="1:27" s="460" customFormat="1" ht="14.7" customHeight="1">
      <c r="A404" s="553" t="s">
        <v>188</v>
      </c>
      <c r="B404" s="473">
        <v>46038</v>
      </c>
      <c r="C404" s="595" t="s">
        <v>1847</v>
      </c>
      <c r="D404" s="474" t="s">
        <v>1946</v>
      </c>
      <c r="E404" s="484" t="s">
        <v>45</v>
      </c>
      <c r="F404" s="475">
        <v>46041</v>
      </c>
      <c r="G404" s="476"/>
      <c r="H404" s="477" t="s">
        <v>1848</v>
      </c>
      <c r="I404" s="713"/>
      <c r="J404" s="854"/>
      <c r="K404" s="478"/>
      <c r="L404" s="555" t="s">
        <v>1849</v>
      </c>
      <c r="M404" s="480" t="s">
        <v>73</v>
      </c>
      <c r="N404" s="480"/>
      <c r="O404" s="477" t="s">
        <v>1855</v>
      </c>
      <c r="P404" s="477"/>
      <c r="Q404" s="481" t="s">
        <v>1790</v>
      </c>
      <c r="R404" s="473"/>
      <c r="S404" s="480">
        <v>0.5</v>
      </c>
      <c r="T404" s="556">
        <v>2976.8100000000009</v>
      </c>
      <c r="U404" s="482">
        <v>1</v>
      </c>
      <c r="V404" s="483"/>
      <c r="W404" s="473"/>
      <c r="X404" s="477"/>
      <c r="Y404" s="484" t="s">
        <v>1899</v>
      </c>
      <c r="Z404" s="477" t="s">
        <v>122</v>
      </c>
    </row>
    <row r="405" spans="1:27" s="460" customFormat="1" ht="93.75" customHeight="1">
      <c r="A405" s="461" t="s">
        <v>1606</v>
      </c>
      <c r="B405" s="437">
        <v>46041</v>
      </c>
      <c r="C405" s="545" t="s">
        <v>1864</v>
      </c>
      <c r="D405" s="443"/>
      <c r="E405" s="439" t="s">
        <v>45</v>
      </c>
      <c r="F405" s="470">
        <v>46043</v>
      </c>
      <c r="G405" s="441"/>
      <c r="H405" s="438"/>
      <c r="I405" s="712"/>
      <c r="J405" s="851"/>
      <c r="K405" s="436"/>
      <c r="L405" s="464" t="s">
        <v>1865</v>
      </c>
      <c r="M405" s="439" t="s">
        <v>73</v>
      </c>
      <c r="N405" s="721"/>
      <c r="O405" s="438" t="s">
        <v>1873</v>
      </c>
      <c r="P405" s="438"/>
      <c r="Q405" s="458" t="s">
        <v>1790</v>
      </c>
      <c r="R405" s="437"/>
      <c r="S405" s="439">
        <v>1</v>
      </c>
      <c r="T405" s="494">
        <v>2243.89</v>
      </c>
      <c r="U405" s="467">
        <v>1</v>
      </c>
      <c r="V405" s="459"/>
      <c r="W405" s="437"/>
      <c r="X405" s="438"/>
      <c r="Y405" s="439" t="s">
        <v>1877</v>
      </c>
      <c r="Z405" s="682" t="s">
        <v>1605</v>
      </c>
    </row>
    <row r="406" spans="1:27" s="439" customFormat="1" ht="30" customHeight="1">
      <c r="A406" s="567" t="s">
        <v>1867</v>
      </c>
      <c r="B406" s="437">
        <v>46027</v>
      </c>
      <c r="C406" s="545" t="s">
        <v>1869</v>
      </c>
      <c r="D406" s="444"/>
      <c r="E406" s="439" t="s">
        <v>45</v>
      </c>
      <c r="F406" s="470">
        <v>46049</v>
      </c>
      <c r="G406" s="437"/>
      <c r="I406" s="715"/>
      <c r="J406" s="444">
        <v>4549639465</v>
      </c>
      <c r="K406" s="458"/>
      <c r="L406" s="537" t="s">
        <v>1870</v>
      </c>
      <c r="M406" s="439" t="s">
        <v>73</v>
      </c>
      <c r="N406" s="721"/>
      <c r="O406" s="443" t="s">
        <v>1855</v>
      </c>
      <c r="Q406" s="458" t="s">
        <v>1790</v>
      </c>
      <c r="R406" s="437"/>
      <c r="S406" s="439">
        <v>1</v>
      </c>
      <c r="T406" s="439">
        <v>1081.4000000000001</v>
      </c>
      <c r="U406" s="467">
        <v>1</v>
      </c>
      <c r="V406" s="458"/>
      <c r="W406" s="437"/>
      <c r="Y406" s="439" t="s">
        <v>1887</v>
      </c>
      <c r="Z406" s="682" t="s">
        <v>1868</v>
      </c>
    </row>
    <row r="407" spans="1:27" s="18" customFormat="1" ht="34.5" customHeight="1">
      <c r="A407" s="13" t="s">
        <v>933</v>
      </c>
      <c r="B407" s="767">
        <v>46042</v>
      </c>
      <c r="C407" s="562" t="s">
        <v>1871</v>
      </c>
      <c r="D407" s="60"/>
      <c r="E407" s="753" t="s">
        <v>1924</v>
      </c>
      <c r="F407" s="248"/>
      <c r="G407" s="199"/>
      <c r="H407" s="765">
        <v>20134421</v>
      </c>
      <c r="I407" s="754" t="s">
        <v>1924</v>
      </c>
      <c r="J407" s="839"/>
      <c r="K407" s="248"/>
      <c r="L407" s="168"/>
      <c r="M407" s="766" t="s">
        <v>73</v>
      </c>
      <c r="N407" s="829"/>
      <c r="O407" s="60" t="s">
        <v>1881</v>
      </c>
      <c r="P407" s="765"/>
      <c r="Q407" s="260"/>
      <c r="R407" s="767"/>
      <c r="S407" s="766"/>
      <c r="T407" s="766"/>
      <c r="U407" s="766"/>
      <c r="V407" s="248"/>
      <c r="W407" s="767"/>
      <c r="X407" s="765"/>
      <c r="Y407" s="766"/>
      <c r="Z407" s="438" t="s">
        <v>427</v>
      </c>
    </row>
    <row r="408" spans="1:27" s="11" customFormat="1" ht="58.5" customHeight="1">
      <c r="A408" s="13" t="s">
        <v>933</v>
      </c>
      <c r="B408" s="583">
        <v>46042</v>
      </c>
      <c r="C408" s="571" t="s">
        <v>1872</v>
      </c>
      <c r="D408" s="60"/>
      <c r="E408" s="569" t="s">
        <v>45</v>
      </c>
      <c r="F408" s="570">
        <v>46050</v>
      </c>
      <c r="G408" s="199"/>
      <c r="H408" s="557">
        <v>20134421</v>
      </c>
      <c r="I408" s="605"/>
      <c r="J408" s="57"/>
      <c r="K408" s="248"/>
      <c r="L408" s="168"/>
      <c r="M408" s="514" t="s">
        <v>73</v>
      </c>
      <c r="N408" s="829"/>
      <c r="O408" s="495" t="s">
        <v>1880</v>
      </c>
      <c r="P408" s="495"/>
      <c r="Q408" s="260" t="s">
        <v>1790</v>
      </c>
      <c r="R408" s="497"/>
      <c r="S408" s="496">
        <v>0.5</v>
      </c>
      <c r="T408" s="496">
        <f>(2*6.84)+(2*72.54)</f>
        <v>158.76000000000002</v>
      </c>
      <c r="U408" s="112">
        <v>1</v>
      </c>
      <c r="V408" s="204"/>
      <c r="W408" s="497"/>
      <c r="X408" s="495"/>
      <c r="Y408" s="496" t="s">
        <v>1892</v>
      </c>
      <c r="Z408" s="442" t="s">
        <v>427</v>
      </c>
      <c r="AA408" s="610"/>
    </row>
    <row r="409" spans="1:27" s="11" customFormat="1" ht="58.5" customHeight="1">
      <c r="A409" s="13" t="s">
        <v>842</v>
      </c>
      <c r="B409" s="583">
        <v>46043</v>
      </c>
      <c r="C409" s="381" t="s">
        <v>1874</v>
      </c>
      <c r="D409" s="60"/>
      <c r="E409" s="439" t="s">
        <v>45</v>
      </c>
      <c r="F409" s="470">
        <v>45679</v>
      </c>
      <c r="G409" s="199"/>
      <c r="H409" s="558" t="s">
        <v>1809</v>
      </c>
      <c r="I409" s="235">
        <v>4548498654</v>
      </c>
      <c r="J409" s="57"/>
      <c r="K409" s="248"/>
      <c r="L409" s="254" t="s">
        <v>1875</v>
      </c>
      <c r="M409" s="514" t="s">
        <v>73</v>
      </c>
      <c r="N409" s="829"/>
      <c r="O409" s="438" t="s">
        <v>1878</v>
      </c>
      <c r="P409" s="495"/>
      <c r="Q409" s="260" t="s">
        <v>1790</v>
      </c>
      <c r="R409" s="497"/>
      <c r="S409" s="496">
        <v>0.5</v>
      </c>
      <c r="T409" s="496">
        <f>(2*113.26)+(2*1.05)+(4*1.08)+(2*63.42)</f>
        <v>359.78</v>
      </c>
      <c r="U409" s="112">
        <v>1</v>
      </c>
      <c r="V409" s="204"/>
      <c r="W409" s="497"/>
      <c r="X409" s="495"/>
      <c r="Y409" s="439" t="s">
        <v>1879</v>
      </c>
      <c r="Z409" s="682" t="s">
        <v>852</v>
      </c>
    </row>
    <row r="410" spans="1:27" s="460" customFormat="1" ht="90" customHeight="1">
      <c r="A410" s="564" t="s">
        <v>842</v>
      </c>
      <c r="B410" s="473">
        <v>46043</v>
      </c>
      <c r="C410" s="554" t="s">
        <v>1876</v>
      </c>
      <c r="D410" s="474"/>
      <c r="E410" s="480" t="s">
        <v>45</v>
      </c>
      <c r="F410" s="565">
        <v>45679</v>
      </c>
      <c r="G410" s="476"/>
      <c r="H410" s="477" t="s">
        <v>1810</v>
      </c>
      <c r="I410" s="713"/>
      <c r="J410" s="854"/>
      <c r="K410" s="478"/>
      <c r="L410" s="566" t="s">
        <v>1875</v>
      </c>
      <c r="M410" s="480" t="s">
        <v>73</v>
      </c>
      <c r="N410" s="480"/>
      <c r="O410" s="477" t="s">
        <v>1878</v>
      </c>
      <c r="P410" s="477"/>
      <c r="Q410" s="481" t="s">
        <v>1790</v>
      </c>
      <c r="R410" s="473"/>
      <c r="S410" s="480">
        <v>0.5</v>
      </c>
      <c r="T410" s="480">
        <f>(2*113.26)+(2*1.05)+(4*1.08)+(2*63.42)</f>
        <v>359.78</v>
      </c>
      <c r="U410" s="482">
        <v>1</v>
      </c>
      <c r="V410" s="483"/>
      <c r="W410" s="473"/>
      <c r="X410" s="477"/>
      <c r="Y410" s="480" t="s">
        <v>1879</v>
      </c>
      <c r="Z410" s="477" t="s">
        <v>852</v>
      </c>
    </row>
    <row r="411" spans="1:27" s="460" customFormat="1" ht="14.7" customHeight="1">
      <c r="A411" s="454" t="s">
        <v>188</v>
      </c>
      <c r="B411" s="437">
        <v>46049</v>
      </c>
      <c r="C411" s="438" t="s">
        <v>1882</v>
      </c>
      <c r="D411" s="443"/>
      <c r="E411" s="439" t="s">
        <v>45</v>
      </c>
      <c r="F411" s="455">
        <v>46051</v>
      </c>
      <c r="G411" s="441"/>
      <c r="H411" s="438" t="s">
        <v>1883</v>
      </c>
      <c r="I411" s="717">
        <v>4546648136</v>
      </c>
      <c r="J411" s="851"/>
      <c r="K411" s="436"/>
      <c r="L411" s="489" t="s">
        <v>1884</v>
      </c>
      <c r="M411" s="439" t="s">
        <v>73</v>
      </c>
      <c r="N411" s="721"/>
      <c r="O411" s="438" t="s">
        <v>1893</v>
      </c>
      <c r="P411" s="438"/>
      <c r="Q411" s="458" t="s">
        <v>1790</v>
      </c>
      <c r="R411" s="437"/>
      <c r="S411" s="439">
        <v>0.5</v>
      </c>
      <c r="T411" s="439">
        <f>75.09*4</f>
        <v>300.36</v>
      </c>
      <c r="U411" s="467">
        <v>1</v>
      </c>
      <c r="V411" s="459"/>
      <c r="W411" s="437"/>
      <c r="X411" s="438"/>
      <c r="Y411" s="439" t="s">
        <v>1899</v>
      </c>
      <c r="Z411" s="682" t="s">
        <v>122</v>
      </c>
      <c r="AA411" s="574"/>
    </row>
    <row r="412" spans="1:27" s="460" customFormat="1" ht="14.7" customHeight="1">
      <c r="A412" s="454" t="s">
        <v>443</v>
      </c>
      <c r="B412" s="437">
        <v>46049</v>
      </c>
      <c r="C412" s="438" t="s">
        <v>1888</v>
      </c>
      <c r="D412" s="443"/>
      <c r="E412" s="439" t="s">
        <v>45</v>
      </c>
      <c r="F412" s="455">
        <v>46051</v>
      </c>
      <c r="G412" s="441"/>
      <c r="H412" s="438" t="s">
        <v>1885</v>
      </c>
      <c r="I412" s="717">
        <v>4546705648</v>
      </c>
      <c r="J412" s="857">
        <v>4549078861</v>
      </c>
      <c r="K412" s="436"/>
      <c r="L412" s="489" t="s">
        <v>1886</v>
      </c>
      <c r="M412" s="439" t="s">
        <v>73</v>
      </c>
      <c r="N412" s="721"/>
      <c r="O412" s="438" t="s">
        <v>1894</v>
      </c>
      <c r="P412" s="438"/>
      <c r="Q412" s="458" t="s">
        <v>1790</v>
      </c>
      <c r="R412" s="437"/>
      <c r="S412" s="439">
        <v>0.5</v>
      </c>
      <c r="T412" s="439">
        <v>37.89</v>
      </c>
      <c r="U412" s="467">
        <v>1</v>
      </c>
      <c r="V412" s="459"/>
      <c r="W412" s="437"/>
      <c r="X412" s="438"/>
      <c r="Y412" s="439" t="s">
        <v>1903</v>
      </c>
      <c r="Z412" s="438" t="s">
        <v>279</v>
      </c>
      <c r="AA412" s="460" t="s">
        <v>1923</v>
      </c>
    </row>
    <row r="413" spans="1:27" s="11" customFormat="1" ht="14.7" customHeight="1">
      <c r="A413" s="943" t="s">
        <v>933</v>
      </c>
      <c r="B413" s="942">
        <v>46050</v>
      </c>
      <c r="C413" s="953" t="s">
        <v>1889</v>
      </c>
      <c r="D413" s="725"/>
      <c r="E413" s="944" t="s">
        <v>45</v>
      </c>
      <c r="F413" s="945">
        <v>46051</v>
      </c>
      <c r="G413" s="726"/>
      <c r="H413" s="952">
        <v>20131872</v>
      </c>
      <c r="I413" s="727"/>
      <c r="J413" s="858"/>
      <c r="K413" s="728"/>
      <c r="L413" s="729" t="s">
        <v>1890</v>
      </c>
      <c r="M413" s="730" t="s">
        <v>73</v>
      </c>
      <c r="N413" s="827"/>
      <c r="O413" s="731" t="s">
        <v>1895</v>
      </c>
      <c r="P413" s="731"/>
      <c r="Q413" s="732" t="s">
        <v>1790</v>
      </c>
      <c r="R413" s="733"/>
      <c r="S413" s="730">
        <v>0.5</v>
      </c>
      <c r="T413" s="730">
        <f>4*11.99</f>
        <v>47.96</v>
      </c>
      <c r="U413" s="734">
        <v>1</v>
      </c>
      <c r="V413" s="735"/>
      <c r="W413" s="733"/>
      <c r="X413" s="731"/>
      <c r="Y413" s="969" t="s">
        <v>1904</v>
      </c>
      <c r="Z413" s="952" t="s">
        <v>427</v>
      </c>
    </row>
    <row r="414" spans="1:27" s="11" customFormat="1" ht="14.7" customHeight="1">
      <c r="A414" s="943"/>
      <c r="B414" s="942"/>
      <c r="C414" s="953"/>
      <c r="D414" s="725"/>
      <c r="E414" s="944"/>
      <c r="F414" s="945"/>
      <c r="G414" s="726"/>
      <c r="H414" s="952"/>
      <c r="I414" s="727"/>
      <c r="J414" s="858"/>
      <c r="K414" s="728"/>
      <c r="L414" s="729" t="s">
        <v>1891</v>
      </c>
      <c r="M414" s="730" t="s">
        <v>73</v>
      </c>
      <c r="N414" s="827"/>
      <c r="O414" s="731" t="s">
        <v>1896</v>
      </c>
      <c r="P414" s="731"/>
      <c r="Q414" s="732" t="s">
        <v>1790</v>
      </c>
      <c r="R414" s="733"/>
      <c r="S414" s="730">
        <v>0.5</v>
      </c>
      <c r="T414" s="730">
        <f>4*4.17</f>
        <v>16.68</v>
      </c>
      <c r="U414" s="734">
        <v>1</v>
      </c>
      <c r="V414" s="735"/>
      <c r="W414" s="733"/>
      <c r="X414" s="731"/>
      <c r="Y414" s="969"/>
      <c r="Z414" s="952"/>
    </row>
    <row r="415" spans="1:27" s="11" customFormat="1" ht="14.7" customHeight="1">
      <c r="A415" s="943"/>
      <c r="B415" s="942"/>
      <c r="C415" s="953"/>
      <c r="D415" s="725"/>
      <c r="E415" s="944"/>
      <c r="F415" s="945"/>
      <c r="G415" s="726"/>
      <c r="H415" s="952"/>
      <c r="I415" s="727"/>
      <c r="J415" s="858"/>
      <c r="K415" s="728"/>
      <c r="L415" s="726" t="s">
        <v>1897</v>
      </c>
      <c r="M415" s="730" t="s">
        <v>73</v>
      </c>
      <c r="N415" s="827"/>
      <c r="O415" s="731" t="s">
        <v>1898</v>
      </c>
      <c r="P415" s="731"/>
      <c r="Q415" s="732" t="s">
        <v>1790</v>
      </c>
      <c r="R415" s="733"/>
      <c r="S415" s="730">
        <v>0.5</v>
      </c>
      <c r="T415" s="730">
        <f>11.16*12</f>
        <v>133.92000000000002</v>
      </c>
      <c r="U415" s="734">
        <v>1</v>
      </c>
      <c r="V415" s="735"/>
      <c r="W415" s="733"/>
      <c r="X415" s="731"/>
      <c r="Y415" s="969"/>
      <c r="Z415" s="952"/>
    </row>
    <row r="416" spans="1:27" s="480" customFormat="1" ht="31.5" customHeight="1">
      <c r="A416" s="604" t="s">
        <v>1901</v>
      </c>
      <c r="B416" s="473">
        <v>46051</v>
      </c>
      <c r="C416" s="477" t="s">
        <v>1900</v>
      </c>
      <c r="D416" s="480" t="s">
        <v>966</v>
      </c>
      <c r="E416" s="480" t="s">
        <v>45</v>
      </c>
      <c r="F416" s="565">
        <v>46072</v>
      </c>
      <c r="G416" s="473"/>
      <c r="I416" s="484"/>
      <c r="J416" s="484"/>
      <c r="K416" s="481"/>
      <c r="L416" s="473" t="s">
        <v>1905</v>
      </c>
      <c r="M416" s="480" t="s">
        <v>73</v>
      </c>
      <c r="O416" s="480" t="s">
        <v>1980</v>
      </c>
      <c r="Q416" s="481" t="s">
        <v>1790</v>
      </c>
      <c r="R416" s="473"/>
      <c r="S416" s="480">
        <v>0.5</v>
      </c>
      <c r="T416" s="480">
        <v>583.66999999999996</v>
      </c>
      <c r="U416" s="482">
        <v>1</v>
      </c>
      <c r="V416" s="481"/>
      <c r="W416" s="473"/>
      <c r="Y416" s="480" t="s">
        <v>1983</v>
      </c>
      <c r="Z416" s="477" t="s">
        <v>1902</v>
      </c>
    </row>
    <row r="417" spans="1:26" s="629" customFormat="1" ht="33.75" customHeight="1">
      <c r="A417" s="492" t="s">
        <v>188</v>
      </c>
      <c r="B417" s="437">
        <v>46055</v>
      </c>
      <c r="C417" s="438" t="s">
        <v>1906</v>
      </c>
      <c r="D417" s="630" t="s">
        <v>966</v>
      </c>
      <c r="E417" s="630" t="s">
        <v>45</v>
      </c>
      <c r="F417" s="463">
        <v>46070</v>
      </c>
      <c r="G417" s="628"/>
      <c r="H417" s="629" t="s">
        <v>1915</v>
      </c>
      <c r="I417" s="444"/>
      <c r="J417" s="842">
        <v>4549431304</v>
      </c>
      <c r="K417" s="458">
        <v>34734</v>
      </c>
      <c r="L417" s="632" t="s">
        <v>1907</v>
      </c>
      <c r="M417" s="630" t="s">
        <v>73</v>
      </c>
      <c r="N417" s="721"/>
      <c r="O417" s="438" t="s">
        <v>1976</v>
      </c>
      <c r="Q417" s="458" t="s">
        <v>1790</v>
      </c>
      <c r="R417" s="437"/>
      <c r="S417" s="629">
        <v>0.5</v>
      </c>
      <c r="T417" s="629">
        <f>939.79+52.56</f>
        <v>992.34999999999991</v>
      </c>
      <c r="U417" s="467">
        <v>1</v>
      </c>
      <c r="V417" s="458"/>
      <c r="W417" s="437"/>
      <c r="Y417" s="629" t="s">
        <v>1978</v>
      </c>
      <c r="Z417" s="438" t="s">
        <v>122</v>
      </c>
    </row>
    <row r="418" spans="1:26" s="460" customFormat="1" ht="80.7" customHeight="1">
      <c r="A418" s="436" t="s">
        <v>188</v>
      </c>
      <c r="B418" s="437">
        <v>46055</v>
      </c>
      <c r="C418" s="438" t="s">
        <v>1908</v>
      </c>
      <c r="D418" s="630" t="s">
        <v>966</v>
      </c>
      <c r="E418" s="630" t="s">
        <v>45</v>
      </c>
      <c r="F418" s="463">
        <v>46070</v>
      </c>
      <c r="G418" s="628"/>
      <c r="H418" s="438" t="s">
        <v>1915</v>
      </c>
      <c r="I418" s="444"/>
      <c r="J418" s="842">
        <v>4549431305</v>
      </c>
      <c r="K418" s="631">
        <v>34733</v>
      </c>
      <c r="L418" s="603" t="s">
        <v>1909</v>
      </c>
      <c r="M418" s="630" t="s">
        <v>73</v>
      </c>
      <c r="N418" s="721"/>
      <c r="O418" s="438" t="s">
        <v>1975</v>
      </c>
      <c r="P418" s="438"/>
      <c r="Q418" s="458" t="s">
        <v>1790</v>
      </c>
      <c r="R418" s="437"/>
      <c r="S418" s="629">
        <v>0.5</v>
      </c>
      <c r="T418" s="629">
        <f>88.96+22.89+5.49+3.4+10.26</f>
        <v>131</v>
      </c>
      <c r="U418" s="467">
        <v>1</v>
      </c>
      <c r="V418" s="459"/>
      <c r="W418" s="437"/>
      <c r="X418" s="438"/>
      <c r="Y418" s="629" t="s">
        <v>1977</v>
      </c>
      <c r="Z418" s="438" t="s">
        <v>122</v>
      </c>
    </row>
    <row r="419" spans="1:26" s="460" customFormat="1" ht="31.5" customHeight="1">
      <c r="A419" s="436" t="s">
        <v>188</v>
      </c>
      <c r="B419" s="437">
        <v>46055</v>
      </c>
      <c r="C419" s="438" t="s">
        <v>1910</v>
      </c>
      <c r="D419" s="625" t="s">
        <v>966</v>
      </c>
      <c r="E419" s="625" t="s">
        <v>45</v>
      </c>
      <c r="F419" s="463">
        <v>46069</v>
      </c>
      <c r="G419" s="623"/>
      <c r="H419" s="438" t="s">
        <v>1915</v>
      </c>
      <c r="I419" s="444"/>
      <c r="J419" s="842">
        <v>4549431306</v>
      </c>
      <c r="K419" s="436"/>
      <c r="L419" s="489" t="s">
        <v>1911</v>
      </c>
      <c r="M419" s="625" t="s">
        <v>73</v>
      </c>
      <c r="N419" s="721"/>
      <c r="O419" s="438" t="s">
        <v>1967</v>
      </c>
      <c r="P419" s="438"/>
      <c r="Q419" s="458" t="s">
        <v>1790</v>
      </c>
      <c r="R419" s="437"/>
      <c r="S419" s="624">
        <v>0.5</v>
      </c>
      <c r="T419" s="624">
        <f>29.28+21.21</f>
        <v>50.49</v>
      </c>
      <c r="U419" s="467">
        <v>1</v>
      </c>
      <c r="V419" s="459"/>
      <c r="W419" s="437"/>
      <c r="X419" s="438"/>
      <c r="Y419" s="624" t="s">
        <v>1973</v>
      </c>
      <c r="Z419" s="438" t="s">
        <v>122</v>
      </c>
    </row>
    <row r="420" spans="1:26" s="460" customFormat="1" ht="38.25" customHeight="1">
      <c r="A420" s="436" t="s">
        <v>188</v>
      </c>
      <c r="B420" s="437">
        <v>46055</v>
      </c>
      <c r="C420" s="438" t="s">
        <v>1912</v>
      </c>
      <c r="D420" s="625" t="s">
        <v>966</v>
      </c>
      <c r="E420" s="625" t="s">
        <v>45</v>
      </c>
      <c r="F420" s="463">
        <v>46069</v>
      </c>
      <c r="G420" s="623"/>
      <c r="H420" s="438" t="s">
        <v>1915</v>
      </c>
      <c r="I420" s="444"/>
      <c r="J420" s="842">
        <v>4549431307</v>
      </c>
      <c r="K420" s="436"/>
      <c r="L420" s="603" t="s">
        <v>1913</v>
      </c>
      <c r="M420" s="625" t="s">
        <v>73</v>
      </c>
      <c r="N420" s="721"/>
      <c r="O420" s="438" t="s">
        <v>1968</v>
      </c>
      <c r="P420" s="438"/>
      <c r="Q420" s="458" t="s">
        <v>1790</v>
      </c>
      <c r="R420" s="437"/>
      <c r="S420" s="624">
        <v>0.5</v>
      </c>
      <c r="T420" s="624">
        <f>41.68*2</f>
        <v>83.36</v>
      </c>
      <c r="U420" s="467">
        <v>1</v>
      </c>
      <c r="V420" s="459"/>
      <c r="W420" s="437"/>
      <c r="X420" s="438"/>
      <c r="Y420" s="624" t="s">
        <v>1972</v>
      </c>
      <c r="Z420" s="438" t="s">
        <v>122</v>
      </c>
    </row>
    <row r="421" spans="1:26" s="645" customFormat="1" ht="31.95" customHeight="1">
      <c r="A421" s="634" t="s">
        <v>443</v>
      </c>
      <c r="B421" s="635">
        <v>46055</v>
      </c>
      <c r="C421" s="636" t="s">
        <v>1914</v>
      </c>
      <c r="D421" s="637" t="s">
        <v>966</v>
      </c>
      <c r="E421" s="633" t="s">
        <v>1979</v>
      </c>
      <c r="F421" s="638"/>
      <c r="G421" s="646"/>
      <c r="H421" s="639"/>
      <c r="I421" s="271"/>
      <c r="J421" s="859"/>
      <c r="K421" s="527"/>
      <c r="L421" s="640"/>
      <c r="M421" s="641" t="s">
        <v>73</v>
      </c>
      <c r="N421" s="284"/>
      <c r="O421" s="622" t="s">
        <v>1974</v>
      </c>
      <c r="P421" s="639"/>
      <c r="Q421" s="642"/>
      <c r="R421" s="643"/>
      <c r="S421" s="284"/>
      <c r="T421" s="284"/>
      <c r="U421" s="284"/>
      <c r="V421" s="644"/>
      <c r="W421" s="643"/>
      <c r="X421" s="639"/>
      <c r="Y421" s="284"/>
      <c r="Z421" s="763" t="s">
        <v>1959</v>
      </c>
    </row>
    <row r="422" spans="1:26" s="468" customFormat="1" ht="45" customHeight="1">
      <c r="A422" s="436" t="s">
        <v>188</v>
      </c>
      <c r="B422" s="437">
        <v>46055</v>
      </c>
      <c r="C422" s="468" t="s">
        <v>1916</v>
      </c>
      <c r="D422" s="624" t="s">
        <v>966</v>
      </c>
      <c r="E422" s="625" t="s">
        <v>45</v>
      </c>
      <c r="F422" s="463">
        <v>46069</v>
      </c>
      <c r="G422" s="623"/>
      <c r="H422" s="468" t="s">
        <v>1918</v>
      </c>
      <c r="I422" s="718"/>
      <c r="J422" s="718"/>
      <c r="K422" s="436"/>
      <c r="L422" s="591" t="s">
        <v>1917</v>
      </c>
      <c r="M422" s="625" t="s">
        <v>73</v>
      </c>
      <c r="N422" s="721"/>
      <c r="O422" s="468" t="s">
        <v>1966</v>
      </c>
      <c r="Q422" s="458" t="s">
        <v>1790</v>
      </c>
      <c r="R422" s="437"/>
      <c r="S422" s="624">
        <v>0.5</v>
      </c>
      <c r="T422" s="624">
        <f>7.93+7.93</f>
        <v>15.86</v>
      </c>
      <c r="U422" s="467">
        <v>1</v>
      </c>
      <c r="V422" s="436"/>
      <c r="W422" s="627"/>
      <c r="Y422" s="624" t="s">
        <v>1971</v>
      </c>
      <c r="Z422" s="438" t="s">
        <v>122</v>
      </c>
    </row>
    <row r="423" spans="1:26" s="607" customFormat="1" ht="65.7" customHeight="1">
      <c r="A423" s="621" t="s">
        <v>1759</v>
      </c>
      <c r="B423" s="437" t="s">
        <v>1922</v>
      </c>
      <c r="C423" s="438" t="s">
        <v>1758</v>
      </c>
      <c r="D423" s="607" t="s">
        <v>966</v>
      </c>
      <c r="E423" s="608" t="s">
        <v>1944</v>
      </c>
      <c r="F423" s="539" t="s">
        <v>949</v>
      </c>
      <c r="G423" s="606"/>
      <c r="H423" s="438" t="s">
        <v>1758</v>
      </c>
      <c r="I423" s="719" t="s">
        <v>1760</v>
      </c>
      <c r="J423" s="715">
        <v>4549119062</v>
      </c>
      <c r="K423" s="458"/>
      <c r="L423" s="537" t="s">
        <v>1921</v>
      </c>
      <c r="M423" s="608" t="s">
        <v>73</v>
      </c>
      <c r="N423" s="721"/>
      <c r="O423" s="609" t="s">
        <v>1929</v>
      </c>
      <c r="Q423" s="458" t="s">
        <v>1790</v>
      </c>
      <c r="R423" s="437"/>
      <c r="S423" s="607">
        <v>0.5</v>
      </c>
      <c r="T423" s="607">
        <f>73.34*4</f>
        <v>293.36</v>
      </c>
      <c r="U423" s="467">
        <v>1</v>
      </c>
      <c r="V423" s="458"/>
      <c r="W423" s="437"/>
      <c r="Z423" s="438" t="s">
        <v>1761</v>
      </c>
    </row>
    <row r="424" spans="1:26" s="460" customFormat="1" ht="14.7" customHeight="1">
      <c r="A424" s="459" t="s">
        <v>1312</v>
      </c>
      <c r="B424" s="590">
        <v>46056</v>
      </c>
      <c r="C424" s="438" t="s">
        <v>1925</v>
      </c>
      <c r="D424" s="443"/>
      <c r="E424" s="594" t="s">
        <v>45</v>
      </c>
      <c r="F424" s="596">
        <v>46058</v>
      </c>
      <c r="G424" s="593"/>
      <c r="H424" s="438" t="s">
        <v>1926</v>
      </c>
      <c r="I424" s="717">
        <v>4546423162</v>
      </c>
      <c r="J424" s="851"/>
      <c r="K424" s="436"/>
      <c r="L424" s="592"/>
      <c r="M424" s="588" t="s">
        <v>73</v>
      </c>
      <c r="N424" s="721"/>
      <c r="O424" s="461" t="s">
        <v>1942</v>
      </c>
      <c r="P424" s="438"/>
      <c r="Q424" s="458" t="s">
        <v>1790</v>
      </c>
      <c r="R424" s="437"/>
      <c r="S424" s="587">
        <v>0.5</v>
      </c>
      <c r="T424" s="587">
        <v>178.42</v>
      </c>
      <c r="U424" s="467">
        <v>1</v>
      </c>
      <c r="V424" s="459"/>
      <c r="W424" s="437"/>
      <c r="X424" s="438"/>
      <c r="Y424" s="587" t="s">
        <v>1943</v>
      </c>
      <c r="Z424" s="438" t="s">
        <v>852</v>
      </c>
    </row>
    <row r="425" spans="1:26" s="460" customFormat="1" ht="53.25" customHeight="1">
      <c r="A425" s="578" t="s">
        <v>933</v>
      </c>
      <c r="B425" s="437">
        <v>46056</v>
      </c>
      <c r="C425" s="438" t="s">
        <v>1927</v>
      </c>
      <c r="D425" s="443"/>
      <c r="E425" s="601" t="s">
        <v>45</v>
      </c>
      <c r="F425" s="463">
        <v>46063</v>
      </c>
      <c r="G425" s="599"/>
      <c r="H425" s="438">
        <v>11863050</v>
      </c>
      <c r="I425" s="444"/>
      <c r="J425" s="851"/>
      <c r="K425" s="436">
        <v>4549634160</v>
      </c>
      <c r="L425" s="603" t="s">
        <v>1928</v>
      </c>
      <c r="M425" s="601" t="s">
        <v>73</v>
      </c>
      <c r="N425" s="721"/>
      <c r="O425" s="438" t="s">
        <v>1948</v>
      </c>
      <c r="P425" s="438"/>
      <c r="Q425" s="458" t="s">
        <v>1790</v>
      </c>
      <c r="R425" s="437"/>
      <c r="S425" s="600">
        <v>0.5</v>
      </c>
      <c r="T425" s="600">
        <f>13.86+6.5+7.62</f>
        <v>27.98</v>
      </c>
      <c r="U425" s="467">
        <v>1</v>
      </c>
      <c r="V425" s="459"/>
      <c r="W425" s="437"/>
      <c r="X425" s="438"/>
      <c r="Y425" s="600" t="s">
        <v>1955</v>
      </c>
      <c r="Z425" s="438" t="s">
        <v>1780</v>
      </c>
    </row>
    <row r="426" spans="1:26" s="460" customFormat="1" ht="14.7" customHeight="1">
      <c r="A426" s="454" t="s">
        <v>184</v>
      </c>
      <c r="B426" s="590">
        <v>46057</v>
      </c>
      <c r="C426" s="438" t="s">
        <v>1930</v>
      </c>
      <c r="D426" s="587" t="s">
        <v>966</v>
      </c>
      <c r="E426" s="594" t="s">
        <v>45</v>
      </c>
      <c r="F426" s="597" t="s">
        <v>1945</v>
      </c>
      <c r="G426" s="593"/>
      <c r="H426" s="454" t="s">
        <v>1932</v>
      </c>
      <c r="I426" s="444"/>
      <c r="J426" s="851"/>
      <c r="K426" s="436"/>
      <c r="L426" s="591" t="s">
        <v>1931</v>
      </c>
      <c r="M426" s="588" t="s">
        <v>73</v>
      </c>
      <c r="N426" s="721"/>
      <c r="O426" s="438" t="s">
        <v>915</v>
      </c>
      <c r="P426" s="438"/>
      <c r="Q426" s="458"/>
      <c r="R426" s="437"/>
      <c r="S426" s="587"/>
      <c r="T426" s="587"/>
      <c r="U426" s="587"/>
      <c r="V426" s="459" t="s">
        <v>454</v>
      </c>
      <c r="W426" s="437"/>
      <c r="X426" s="438"/>
      <c r="Y426" s="587"/>
      <c r="Z426" s="692" t="s">
        <v>122</v>
      </c>
    </row>
    <row r="427" spans="1:26" s="460" customFormat="1" ht="58.5" customHeight="1">
      <c r="A427" s="604" t="s">
        <v>842</v>
      </c>
      <c r="B427" s="473">
        <v>46057</v>
      </c>
      <c r="C427" s="477" t="s">
        <v>1933</v>
      </c>
      <c r="D427" s="474"/>
      <c r="E427" s="480" t="s">
        <v>45</v>
      </c>
      <c r="F427" s="565">
        <v>46063</v>
      </c>
      <c r="G427" s="476"/>
      <c r="H427" s="477" t="s">
        <v>1934</v>
      </c>
      <c r="I427" s="720">
        <v>4546533250</v>
      </c>
      <c r="J427" s="484"/>
      <c r="K427" s="478"/>
      <c r="L427" s="476"/>
      <c r="M427" s="480" t="s">
        <v>73</v>
      </c>
      <c r="N427" s="480"/>
      <c r="O427" s="477" t="s">
        <v>1947</v>
      </c>
      <c r="P427" s="477"/>
      <c r="Q427" s="481" t="s">
        <v>1790</v>
      </c>
      <c r="R427" s="473"/>
      <c r="S427" s="480">
        <v>0.5</v>
      </c>
      <c r="T427" s="480">
        <f>4.17+20.08+7.62</f>
        <v>31.87</v>
      </c>
      <c r="U427" s="482">
        <v>1</v>
      </c>
      <c r="V427" s="483"/>
      <c r="W427" s="473"/>
      <c r="X427" s="477"/>
      <c r="Y427" s="480" t="s">
        <v>1956</v>
      </c>
      <c r="Z427" s="477" t="s">
        <v>852</v>
      </c>
    </row>
    <row r="428" spans="1:26" s="718" customFormat="1" ht="39" customHeight="1">
      <c r="A428" s="779" t="s">
        <v>1798</v>
      </c>
      <c r="B428" s="780">
        <v>46062</v>
      </c>
      <c r="C428" s="443" t="s">
        <v>1949</v>
      </c>
      <c r="D428" s="443"/>
      <c r="E428" s="444" t="s">
        <v>45</v>
      </c>
      <c r="F428" s="440">
        <v>45704</v>
      </c>
      <c r="G428" s="780" t="s">
        <v>583</v>
      </c>
      <c r="H428" s="443" t="s">
        <v>1950</v>
      </c>
      <c r="I428" s="444"/>
      <c r="J428" s="860" t="s">
        <v>2076</v>
      </c>
      <c r="K428" s="656" t="s">
        <v>1984</v>
      </c>
      <c r="L428" s="781"/>
      <c r="M428" s="751" t="s">
        <v>73</v>
      </c>
      <c r="N428" s="444"/>
      <c r="O428" s="573" t="s">
        <v>1969</v>
      </c>
      <c r="P428" s="443"/>
      <c r="Q428" s="631" t="s">
        <v>1790</v>
      </c>
      <c r="R428" s="780"/>
      <c r="S428" s="444">
        <v>0.5</v>
      </c>
      <c r="T428" s="444">
        <f>(2*10.15)+(2*13.39)</f>
        <v>47.08</v>
      </c>
      <c r="U428" s="782">
        <v>1</v>
      </c>
      <c r="V428" s="779"/>
      <c r="W428" s="780"/>
      <c r="X428" s="443"/>
      <c r="Y428" s="444" t="s">
        <v>1970</v>
      </c>
      <c r="Z428" s="443" t="s">
        <v>1799</v>
      </c>
    </row>
    <row r="429" spans="1:26" s="11" customFormat="1" ht="14.7" customHeight="1">
      <c r="A429" s="204" t="s">
        <v>451</v>
      </c>
      <c r="B429" s="64">
        <v>46062</v>
      </c>
      <c r="C429" s="438">
        <v>304043355</v>
      </c>
      <c r="D429" s="747" t="s">
        <v>2012</v>
      </c>
      <c r="E429" s="748" t="s">
        <v>45</v>
      </c>
      <c r="F429" s="283">
        <v>45720</v>
      </c>
      <c r="G429" s="749" t="s">
        <v>583</v>
      </c>
      <c r="H429" s="746" t="s">
        <v>1951</v>
      </c>
      <c r="I429" s="748"/>
      <c r="J429" s="57"/>
      <c r="K429" s="248"/>
      <c r="L429" s="102" t="s">
        <v>1952</v>
      </c>
      <c r="M429" s="450" t="s">
        <v>73</v>
      </c>
      <c r="N429" s="829"/>
      <c r="O429" s="746"/>
      <c r="P429" s="746"/>
      <c r="Q429" s="260"/>
      <c r="R429" s="749"/>
      <c r="S429" s="748"/>
      <c r="T429" s="748"/>
      <c r="U429" s="748"/>
      <c r="V429" s="204" t="s">
        <v>2021</v>
      </c>
      <c r="W429" s="749"/>
      <c r="X429" s="750" t="s">
        <v>2019</v>
      </c>
      <c r="Y429" s="748">
        <v>2077.4299999999998</v>
      </c>
      <c r="Z429" s="438" t="s">
        <v>568</v>
      </c>
    </row>
    <row r="430" spans="1:26" s="11" customFormat="1" ht="14.7" customHeight="1">
      <c r="A430" s="204" t="s">
        <v>451</v>
      </c>
      <c r="B430" s="64">
        <v>46062</v>
      </c>
      <c r="C430" s="438">
        <v>304043471</v>
      </c>
      <c r="D430" s="60"/>
      <c r="E430" s="586"/>
      <c r="F430" s="204"/>
      <c r="G430" s="598" t="s">
        <v>583</v>
      </c>
      <c r="H430" s="60" t="s">
        <v>1951</v>
      </c>
      <c r="I430" s="58"/>
      <c r="J430" s="57"/>
      <c r="K430" s="248"/>
      <c r="L430" s="102" t="s">
        <v>1952</v>
      </c>
      <c r="M430" s="450" t="s">
        <v>73</v>
      </c>
      <c r="N430" s="829"/>
      <c r="O430" s="586"/>
      <c r="P430" s="586"/>
      <c r="Q430" s="260"/>
      <c r="R430" s="585"/>
      <c r="S430" s="584"/>
      <c r="T430" s="584"/>
      <c r="U430" s="584"/>
      <c r="V430" s="204"/>
      <c r="W430" s="585"/>
      <c r="X430" s="586"/>
      <c r="Y430" s="584"/>
      <c r="Z430" s="438" t="s">
        <v>568</v>
      </c>
    </row>
    <row r="431" spans="1:26" s="11" customFormat="1" ht="14.7" customHeight="1">
      <c r="A431" s="204" t="s">
        <v>451</v>
      </c>
      <c r="B431" s="64">
        <v>46062</v>
      </c>
      <c r="C431" s="438">
        <v>304044211</v>
      </c>
      <c r="D431" s="746"/>
      <c r="E431" s="748" t="s">
        <v>45</v>
      </c>
      <c r="F431" s="283">
        <v>45720</v>
      </c>
      <c r="G431" s="749" t="s">
        <v>583</v>
      </c>
      <c r="H431" s="746" t="s">
        <v>1951</v>
      </c>
      <c r="I431" s="748"/>
      <c r="J431" s="57"/>
      <c r="K431" s="248"/>
      <c r="L431" s="102" t="s">
        <v>1952</v>
      </c>
      <c r="M431" s="450" t="s">
        <v>73</v>
      </c>
      <c r="N431" s="829"/>
      <c r="O431" s="746"/>
      <c r="P431" s="746"/>
      <c r="Q431" s="260"/>
      <c r="R431" s="749"/>
      <c r="S431" s="748"/>
      <c r="T431" s="748"/>
      <c r="U431" s="748"/>
      <c r="V431" s="204" t="s">
        <v>2021</v>
      </c>
      <c r="W431" s="749"/>
      <c r="X431" s="746" t="s">
        <v>2020</v>
      </c>
      <c r="Y431" s="748">
        <v>3098.83</v>
      </c>
      <c r="Z431" s="438" t="s">
        <v>568</v>
      </c>
    </row>
    <row r="432" spans="1:26" s="11" customFormat="1" ht="14.7" customHeight="1">
      <c r="A432" s="204" t="s">
        <v>451</v>
      </c>
      <c r="B432" s="64">
        <v>46062</v>
      </c>
      <c r="C432" s="438">
        <v>304044242</v>
      </c>
      <c r="D432" s="60"/>
      <c r="E432" s="586"/>
      <c r="F432" s="204"/>
      <c r="G432" s="598" t="s">
        <v>583</v>
      </c>
      <c r="H432" s="60" t="s">
        <v>1951</v>
      </c>
      <c r="I432" s="58"/>
      <c r="J432" s="57"/>
      <c r="K432" s="248"/>
      <c r="L432" s="102" t="s">
        <v>1952</v>
      </c>
      <c r="M432" s="450" t="s">
        <v>73</v>
      </c>
      <c r="N432" s="829"/>
      <c r="O432" s="586"/>
      <c r="P432" s="586"/>
      <c r="Q432" s="260"/>
      <c r="R432" s="585"/>
      <c r="S432" s="584"/>
      <c r="T432" s="584"/>
      <c r="U432" s="584"/>
      <c r="V432" s="204"/>
      <c r="W432" s="585"/>
      <c r="X432" s="586"/>
      <c r="Y432" s="584"/>
      <c r="Z432" s="438" t="s">
        <v>568</v>
      </c>
    </row>
    <row r="433" spans="1:26" s="11" customFormat="1" ht="14.7" customHeight="1">
      <c r="A433" s="204" t="s">
        <v>451</v>
      </c>
      <c r="B433" s="64">
        <v>46062</v>
      </c>
      <c r="C433" s="438">
        <v>304044521</v>
      </c>
      <c r="D433" s="60"/>
      <c r="E433" s="586"/>
      <c r="F433" s="204"/>
      <c r="G433" s="598" t="s">
        <v>583</v>
      </c>
      <c r="H433" s="60" t="s">
        <v>1951</v>
      </c>
      <c r="I433" s="58"/>
      <c r="J433" s="57"/>
      <c r="K433" s="248"/>
      <c r="L433" s="102" t="s">
        <v>1952</v>
      </c>
      <c r="M433" s="450" t="s">
        <v>73</v>
      </c>
      <c r="N433" s="829"/>
      <c r="O433" s="586"/>
      <c r="P433" s="586"/>
      <c r="Q433" s="260"/>
      <c r="R433" s="585"/>
      <c r="S433" s="584"/>
      <c r="T433" s="584"/>
      <c r="U433" s="584"/>
      <c r="V433" s="204"/>
      <c r="W433" s="585"/>
      <c r="X433" s="586"/>
      <c r="Y433" s="584"/>
      <c r="Z433" s="438" t="s">
        <v>568</v>
      </c>
    </row>
    <row r="434" spans="1:26" s="468" customFormat="1" ht="43.95" customHeight="1">
      <c r="A434" s="436" t="s">
        <v>522</v>
      </c>
      <c r="B434" s="437">
        <v>46063</v>
      </c>
      <c r="C434" s="438" t="s">
        <v>1953</v>
      </c>
      <c r="D434" s="683" t="s">
        <v>966</v>
      </c>
      <c r="E434" s="648" t="s">
        <v>45</v>
      </c>
      <c r="F434" s="655">
        <v>46072</v>
      </c>
      <c r="G434" s="437" t="s">
        <v>583</v>
      </c>
      <c r="H434" s="438" t="s">
        <v>1954</v>
      </c>
      <c r="I434" s="444">
        <v>4539213860</v>
      </c>
      <c r="J434" s="444"/>
      <c r="K434" s="436"/>
      <c r="L434" s="537">
        <v>57611482</v>
      </c>
      <c r="M434" s="649" t="s">
        <v>73</v>
      </c>
      <c r="N434" s="721"/>
      <c r="O434" s="647" t="s">
        <v>1981</v>
      </c>
      <c r="P434" s="438"/>
      <c r="Q434" s="458" t="s">
        <v>1790</v>
      </c>
      <c r="R434" s="437"/>
      <c r="S434" s="648">
        <v>0.5</v>
      </c>
      <c r="T434" s="648">
        <v>116.13</v>
      </c>
      <c r="U434" s="467">
        <v>1</v>
      </c>
      <c r="V434" s="436"/>
      <c r="W434" s="437"/>
      <c r="X434" s="438"/>
      <c r="Y434" s="648" t="s">
        <v>1982</v>
      </c>
      <c r="Z434" s="438" t="s">
        <v>122</v>
      </c>
    </row>
    <row r="435" spans="1:26" s="18" customFormat="1" ht="24" customHeight="1">
      <c r="A435" s="248" t="s">
        <v>1542</v>
      </c>
      <c r="B435" s="98">
        <v>46064</v>
      </c>
      <c r="C435" s="438" t="s">
        <v>1957</v>
      </c>
      <c r="D435" s="739" t="s">
        <v>2052</v>
      </c>
      <c r="E435" s="721" t="s">
        <v>45</v>
      </c>
      <c r="F435" s="260" t="s">
        <v>2084</v>
      </c>
      <c r="G435" s="742" t="s">
        <v>583</v>
      </c>
      <c r="H435" s="738" t="s">
        <v>1958</v>
      </c>
      <c r="I435" s="739" t="s">
        <v>2024</v>
      </c>
      <c r="J435" s="839"/>
      <c r="K435" s="248"/>
      <c r="L435" s="199"/>
      <c r="M435" s="450" t="s">
        <v>73</v>
      </c>
      <c r="N435" s="829"/>
      <c r="O435" s="738"/>
      <c r="P435" s="738"/>
      <c r="Q435" s="260"/>
      <c r="R435" s="742"/>
      <c r="S435" s="740"/>
      <c r="T435" s="740"/>
      <c r="U435" s="740"/>
      <c r="V435" s="248"/>
      <c r="W435" s="742"/>
      <c r="X435" s="738"/>
      <c r="Y435" s="740" t="s">
        <v>2085</v>
      </c>
      <c r="Z435" s="438" t="s">
        <v>822</v>
      </c>
    </row>
    <row r="436" spans="1:26" s="468" customFormat="1" ht="26.25" customHeight="1">
      <c r="A436" s="436" t="s">
        <v>1961</v>
      </c>
      <c r="B436" s="780">
        <v>46065</v>
      </c>
      <c r="C436" s="438" t="s">
        <v>1964</v>
      </c>
      <c r="D436" s="444" t="s">
        <v>2079</v>
      </c>
      <c r="E436" s="444" t="s">
        <v>45</v>
      </c>
      <c r="F436" s="440">
        <v>46101</v>
      </c>
      <c r="G436" s="437" t="s">
        <v>583</v>
      </c>
      <c r="H436" s="443" t="s">
        <v>1963</v>
      </c>
      <c r="I436" s="444" t="s">
        <v>2024</v>
      </c>
      <c r="J436" s="444"/>
      <c r="K436" s="436"/>
      <c r="L436" s="441" t="s">
        <v>2086</v>
      </c>
      <c r="M436" s="723" t="s">
        <v>73</v>
      </c>
      <c r="N436" s="721"/>
      <c r="O436" s="438" t="s">
        <v>2086</v>
      </c>
      <c r="P436" s="438"/>
      <c r="Q436" s="458" t="s">
        <v>1790</v>
      </c>
      <c r="R436" s="437"/>
      <c r="S436" s="721">
        <v>0.5</v>
      </c>
      <c r="T436" s="721">
        <v>580.94000000000005</v>
      </c>
      <c r="U436" s="467">
        <v>1</v>
      </c>
      <c r="V436" s="436"/>
      <c r="W436" s="437"/>
      <c r="X436" s="438"/>
      <c r="Y436" s="721"/>
      <c r="Z436" s="438" t="s">
        <v>1962</v>
      </c>
    </row>
    <row r="437" spans="1:26" s="468" customFormat="1" ht="29.25" customHeight="1">
      <c r="A437" s="478" t="s">
        <v>1961</v>
      </c>
      <c r="B437" s="788">
        <v>46065</v>
      </c>
      <c r="C437" s="477" t="s">
        <v>1965</v>
      </c>
      <c r="D437" s="484"/>
      <c r="E437" s="484" t="s">
        <v>45</v>
      </c>
      <c r="F437" s="799">
        <v>46106</v>
      </c>
      <c r="G437" s="473" t="s">
        <v>583</v>
      </c>
      <c r="H437" s="474" t="s">
        <v>1963</v>
      </c>
      <c r="I437" s="484" t="s">
        <v>2024</v>
      </c>
      <c r="J437" s="484"/>
      <c r="K437" s="478"/>
      <c r="L437" s="476" t="s">
        <v>2086</v>
      </c>
      <c r="M437" s="480" t="s">
        <v>73</v>
      </c>
      <c r="N437" s="480" t="s">
        <v>2096</v>
      </c>
      <c r="O437" s="477" t="s">
        <v>2086</v>
      </c>
      <c r="P437" s="477"/>
      <c r="Q437" s="481" t="s">
        <v>1790</v>
      </c>
      <c r="R437" s="473"/>
      <c r="S437" s="480">
        <v>0.5</v>
      </c>
      <c r="T437" s="480">
        <v>739.66</v>
      </c>
      <c r="U437" s="482">
        <v>1</v>
      </c>
      <c r="V437" s="478"/>
      <c r="W437" s="473"/>
      <c r="X437" s="477"/>
      <c r="Y437" s="480"/>
      <c r="Z437" s="477" t="s">
        <v>1962</v>
      </c>
    </row>
    <row r="438" spans="1:26" s="438" customFormat="1" ht="30.75" customHeight="1">
      <c r="A438" s="492" t="s">
        <v>1798</v>
      </c>
      <c r="B438" s="441" t="s">
        <v>2003</v>
      </c>
      <c r="C438" s="438" t="s">
        <v>1988</v>
      </c>
      <c r="D438" s="721" t="s">
        <v>966</v>
      </c>
      <c r="E438" s="721" t="s">
        <v>45</v>
      </c>
      <c r="F438" s="722">
        <v>46080</v>
      </c>
      <c r="G438" s="437" t="s">
        <v>583</v>
      </c>
      <c r="H438" s="438" t="s">
        <v>1986</v>
      </c>
      <c r="I438" s="721">
        <v>4549095411</v>
      </c>
      <c r="J438" s="443" t="s">
        <v>2072</v>
      </c>
      <c r="K438" s="492"/>
      <c r="L438" s="537" t="s">
        <v>1987</v>
      </c>
      <c r="M438" s="724" t="s">
        <v>73</v>
      </c>
      <c r="N438" s="721"/>
      <c r="O438" s="438" t="s">
        <v>2000</v>
      </c>
      <c r="Q438" s="458" t="s">
        <v>2001</v>
      </c>
      <c r="R438" s="437"/>
      <c r="S438" s="721">
        <v>0.5</v>
      </c>
      <c r="T438" s="721">
        <v>143.02000000000001</v>
      </c>
      <c r="U438" s="467">
        <v>1</v>
      </c>
      <c r="V438" s="492"/>
      <c r="W438" s="441"/>
      <c r="Y438" s="438">
        <v>221.32</v>
      </c>
      <c r="Z438" s="724" t="s">
        <v>1799</v>
      </c>
    </row>
    <row r="439" spans="1:26" s="460" customFormat="1" ht="34.5" customHeight="1">
      <c r="A439" s="436" t="s">
        <v>443</v>
      </c>
      <c r="B439" s="437">
        <v>46078</v>
      </c>
      <c r="C439" s="438" t="s">
        <v>1989</v>
      </c>
      <c r="D439" s="443"/>
      <c r="E439" s="721" t="s">
        <v>45</v>
      </c>
      <c r="F439" s="722">
        <v>46080</v>
      </c>
      <c r="G439" s="441"/>
      <c r="H439" s="438"/>
      <c r="I439" s="444"/>
      <c r="J439" s="851"/>
      <c r="K439" s="436"/>
      <c r="L439" s="489" t="s">
        <v>1990</v>
      </c>
      <c r="M439" s="723" t="s">
        <v>73</v>
      </c>
      <c r="N439" s="721"/>
      <c r="O439" s="438" t="s">
        <v>2002</v>
      </c>
      <c r="P439" s="438"/>
      <c r="Q439" s="458" t="s">
        <v>2001</v>
      </c>
      <c r="R439" s="437"/>
      <c r="S439" s="721">
        <v>0.5</v>
      </c>
      <c r="T439" s="721">
        <v>62.699999999999989</v>
      </c>
      <c r="U439" s="467">
        <v>1</v>
      </c>
      <c r="V439" s="459"/>
      <c r="W439" s="437"/>
      <c r="X439" s="438"/>
      <c r="Y439" s="721"/>
      <c r="Z439" s="724" t="s">
        <v>279</v>
      </c>
    </row>
    <row r="440" spans="1:26" s="18" customFormat="1" ht="22.5" customHeight="1">
      <c r="A440" s="248" t="s">
        <v>184</v>
      </c>
      <c r="B440" s="742">
        <v>46080</v>
      </c>
      <c r="C440" s="746" t="s">
        <v>1991</v>
      </c>
      <c r="D440" s="721"/>
      <c r="E440" s="721" t="s">
        <v>45</v>
      </c>
      <c r="F440" s="741">
        <v>46084</v>
      </c>
      <c r="G440" s="722"/>
      <c r="H440" s="738" t="s">
        <v>1992</v>
      </c>
      <c r="I440" s="739">
        <v>4549332224</v>
      </c>
      <c r="J440" s="839"/>
      <c r="K440" s="745" t="s">
        <v>2004</v>
      </c>
      <c r="L440" s="168" t="s">
        <v>1993</v>
      </c>
      <c r="M440" s="450" t="s">
        <v>73</v>
      </c>
      <c r="N440" s="829"/>
      <c r="O440" s="744" t="s">
        <v>2009</v>
      </c>
      <c r="P440" s="738"/>
      <c r="Q440" s="260"/>
      <c r="R440" s="742"/>
      <c r="S440" s="740"/>
      <c r="T440" s="740"/>
      <c r="U440" s="740"/>
      <c r="V440" s="248"/>
      <c r="W440" s="742"/>
      <c r="X440" s="740">
        <v>27.64</v>
      </c>
      <c r="Y440" s="740" t="s">
        <v>2010</v>
      </c>
      <c r="Z440" s="724" t="s">
        <v>122</v>
      </c>
    </row>
    <row r="441" spans="1:26" s="468" customFormat="1" ht="40.799999999999997">
      <c r="A441" s="538" t="s">
        <v>850</v>
      </c>
      <c r="B441" s="628">
        <v>46080</v>
      </c>
      <c r="C441" s="724" t="s">
        <v>1994</v>
      </c>
      <c r="D441" s="573"/>
      <c r="E441" s="721" t="s">
        <v>45</v>
      </c>
      <c r="F441" s="463">
        <v>46085</v>
      </c>
      <c r="G441" s="599"/>
      <c r="H441" s="724" t="s">
        <v>1997</v>
      </c>
      <c r="I441" s="751"/>
      <c r="J441" s="842">
        <v>4549733863</v>
      </c>
      <c r="K441" s="538"/>
      <c r="L441" s="752" t="s">
        <v>1998</v>
      </c>
      <c r="M441" s="723" t="s">
        <v>73</v>
      </c>
      <c r="N441" s="723"/>
      <c r="O441" s="545" t="s">
        <v>2014</v>
      </c>
      <c r="P441" s="724"/>
      <c r="Q441" s="539" t="s">
        <v>2001</v>
      </c>
      <c r="R441" s="628"/>
      <c r="S441" s="723">
        <v>0.5</v>
      </c>
      <c r="T441" s="723">
        <v>137.80000000000001</v>
      </c>
      <c r="U441" s="540">
        <v>1</v>
      </c>
      <c r="V441" s="538"/>
      <c r="W441" s="628"/>
      <c r="X441" s="724"/>
      <c r="Y441" s="723" t="s">
        <v>2022</v>
      </c>
      <c r="Z441" s="442" t="s">
        <v>869</v>
      </c>
    </row>
    <row r="442" spans="1:26" s="18" customFormat="1" ht="40.799999999999997">
      <c r="A442" s="246" t="s">
        <v>850</v>
      </c>
      <c r="B442" s="88">
        <v>46080</v>
      </c>
      <c r="C442" s="477" t="s">
        <v>1995</v>
      </c>
      <c r="D442" s="239"/>
      <c r="E442" s="480" t="s">
        <v>45</v>
      </c>
      <c r="F442" s="377">
        <v>46085</v>
      </c>
      <c r="G442" s="201"/>
      <c r="H442" s="62" t="s">
        <v>1996</v>
      </c>
      <c r="I442" s="96"/>
      <c r="J442" s="96">
        <v>4549733410</v>
      </c>
      <c r="K442" s="246"/>
      <c r="L442" s="247" t="s">
        <v>1999</v>
      </c>
      <c r="M442" s="22" t="s">
        <v>73</v>
      </c>
      <c r="N442" s="22"/>
      <c r="O442" s="791" t="s">
        <v>2015</v>
      </c>
      <c r="P442" s="62"/>
      <c r="Q442" s="270" t="s">
        <v>2001</v>
      </c>
      <c r="R442" s="88"/>
      <c r="S442" s="22">
        <v>0.5</v>
      </c>
      <c r="T442" s="22">
        <v>23.96</v>
      </c>
      <c r="U442" s="121">
        <v>1</v>
      </c>
      <c r="V442" s="246"/>
      <c r="W442" s="88"/>
      <c r="X442" s="62"/>
      <c r="Y442" s="22" t="s">
        <v>2023</v>
      </c>
      <c r="Z442" s="62" t="s">
        <v>869</v>
      </c>
    </row>
    <row r="443" spans="1:26" s="11" customFormat="1" ht="14.7" customHeight="1">
      <c r="A443" s="204" t="s">
        <v>522</v>
      </c>
      <c r="B443" s="64">
        <v>46083</v>
      </c>
      <c r="C443" s="52" t="s">
        <v>2005</v>
      </c>
      <c r="D443" s="721" t="s">
        <v>966</v>
      </c>
      <c r="E443" s="721" t="s">
        <v>45</v>
      </c>
      <c r="F443" s="741">
        <v>46084</v>
      </c>
      <c r="G443" s="199"/>
      <c r="H443" s="736" t="s">
        <v>2006</v>
      </c>
      <c r="I443" s="737">
        <v>4549300592</v>
      </c>
      <c r="J443" s="57"/>
      <c r="K443" s="248"/>
      <c r="L443" t="s">
        <v>2007</v>
      </c>
      <c r="M443" s="450" t="s">
        <v>73</v>
      </c>
      <c r="N443" s="829"/>
      <c r="O443" s="743" t="s">
        <v>2008</v>
      </c>
      <c r="P443" s="679"/>
      <c r="Q443" s="260"/>
      <c r="R443" s="678"/>
      <c r="S443" s="677"/>
      <c r="T443" s="677"/>
      <c r="U443" s="677"/>
      <c r="V443" s="204"/>
      <c r="W443" s="678"/>
      <c r="X443" s="740">
        <v>178.42</v>
      </c>
      <c r="Y443" s="677" t="s">
        <v>1943</v>
      </c>
      <c r="Z443" s="724" t="s">
        <v>122</v>
      </c>
    </row>
    <row r="444" spans="1:26" s="468" customFormat="1" ht="25.5" customHeight="1">
      <c r="A444" s="436" t="s">
        <v>865</v>
      </c>
      <c r="B444" s="437">
        <v>46084</v>
      </c>
      <c r="C444" s="438">
        <v>814108966</v>
      </c>
      <c r="D444" s="443"/>
      <c r="E444" s="438"/>
      <c r="F444" s="436"/>
      <c r="G444" s="780" t="s">
        <v>2013</v>
      </c>
      <c r="H444" s="545" t="s">
        <v>1245</v>
      </c>
      <c r="I444" s="444"/>
      <c r="J444" s="444"/>
      <c r="K444" s="436"/>
      <c r="L444" s="464" t="s">
        <v>2011</v>
      </c>
      <c r="M444" s="723" t="s">
        <v>73</v>
      </c>
      <c r="N444" s="721"/>
      <c r="O444" s="438"/>
      <c r="P444" s="438"/>
      <c r="Q444" s="458"/>
      <c r="R444" s="437"/>
      <c r="S444" s="721"/>
      <c r="T444" s="721"/>
      <c r="U444" s="721"/>
      <c r="V444" s="436"/>
      <c r="W444" s="437"/>
      <c r="X444" s="438"/>
      <c r="Y444" s="721"/>
      <c r="Z444" s="438"/>
    </row>
    <row r="445" spans="1:26" s="460" customFormat="1" ht="30.6">
      <c r="A445" s="541" t="s">
        <v>933</v>
      </c>
      <c r="B445" s="772">
        <v>46084</v>
      </c>
      <c r="C445" s="724" t="s">
        <v>2016</v>
      </c>
      <c r="D445" s="573"/>
      <c r="E445" s="723" t="s">
        <v>45</v>
      </c>
      <c r="F445" s="463">
        <v>46098</v>
      </c>
      <c r="G445" s="599"/>
      <c r="H445" s="724" t="s">
        <v>2017</v>
      </c>
      <c r="I445" s="751"/>
      <c r="J445" s="856">
        <v>4549621695</v>
      </c>
      <c r="K445" s="538"/>
      <c r="L445" s="752" t="s">
        <v>2018</v>
      </c>
      <c r="M445" s="723" t="s">
        <v>73</v>
      </c>
      <c r="N445" s="723"/>
      <c r="O445" s="875" t="s">
        <v>2067</v>
      </c>
      <c r="P445" s="724"/>
      <c r="Q445" s="539" t="s">
        <v>2001</v>
      </c>
      <c r="R445" s="628"/>
      <c r="S445" s="723">
        <v>0.5</v>
      </c>
      <c r="T445" s="723">
        <v>44.04</v>
      </c>
      <c r="U445" s="540">
        <v>1</v>
      </c>
      <c r="V445" s="541"/>
      <c r="W445" s="628"/>
      <c r="X445" s="723" t="s">
        <v>2070</v>
      </c>
      <c r="Y445" s="723" t="s">
        <v>2071</v>
      </c>
      <c r="Z445" s="724" t="s">
        <v>427</v>
      </c>
    </row>
    <row r="446" spans="1:26" s="11" customFormat="1" ht="14.7" customHeight="1">
      <c r="A446" t="s">
        <v>1542</v>
      </c>
      <c r="B446" s="759">
        <v>46086</v>
      </c>
      <c r="C446" s="724" t="s">
        <v>2059</v>
      </c>
      <c r="D446" s="760"/>
      <c r="E446" s="450" t="s">
        <v>45</v>
      </c>
      <c r="F446" s="769">
        <v>46097</v>
      </c>
      <c r="G446" s="447"/>
      <c r="H446" s="442" t="s">
        <v>2060</v>
      </c>
      <c r="I446" s="761"/>
      <c r="J446" s="855"/>
      <c r="K446" s="448"/>
      <c r="L446" s="762"/>
      <c r="M446" s="450"/>
      <c r="N446" s="826"/>
      <c r="O446" s="442" t="s">
        <v>2065</v>
      </c>
      <c r="P446" s="442"/>
      <c r="Q446" s="451" t="s">
        <v>2001</v>
      </c>
      <c r="R446" s="445"/>
      <c r="S446" s="450">
        <v>0.5</v>
      </c>
      <c r="T446" s="450">
        <f>132.74*28</f>
        <v>3716.7200000000003</v>
      </c>
      <c r="U446" s="770">
        <v>1</v>
      </c>
      <c r="V446" s="446"/>
      <c r="W446" s="445"/>
      <c r="X446" s="450">
        <v>132.74</v>
      </c>
      <c r="Y446" s="450" t="s">
        <v>2066</v>
      </c>
      <c r="Z446" s="724" t="s">
        <v>822</v>
      </c>
    </row>
    <row r="447" spans="1:26" s="460" customFormat="1" ht="14.7" customHeight="1">
      <c r="A447" s="483" t="s">
        <v>933</v>
      </c>
      <c r="B447" s="771">
        <v>46086</v>
      </c>
      <c r="C447" s="477" t="s">
        <v>2025</v>
      </c>
      <c r="D447" s="474"/>
      <c r="E447" s="22" t="s">
        <v>45</v>
      </c>
      <c r="F447" s="475">
        <v>46098</v>
      </c>
      <c r="G447" s="476"/>
      <c r="H447" s="477" t="s">
        <v>2026</v>
      </c>
      <c r="I447" s="484"/>
      <c r="J447" s="854"/>
      <c r="K447" s="478"/>
      <c r="L447" s="476"/>
      <c r="M447" s="480" t="s">
        <v>73</v>
      </c>
      <c r="N447" s="480"/>
      <c r="O447" s="477" t="s">
        <v>2068</v>
      </c>
      <c r="P447" s="477"/>
      <c r="Q447" s="481" t="s">
        <v>2001</v>
      </c>
      <c r="R447" s="473"/>
      <c r="S447" s="480">
        <v>0.5</v>
      </c>
      <c r="T447" s="480">
        <v>71.2</v>
      </c>
      <c r="U447" s="482">
        <v>1</v>
      </c>
      <c r="V447" s="483"/>
      <c r="W447" s="473"/>
      <c r="X447" s="480">
        <v>71.2</v>
      </c>
      <c r="Y447" s="480" t="s">
        <v>2069</v>
      </c>
      <c r="Z447" s="477" t="s">
        <v>427</v>
      </c>
    </row>
    <row r="448" spans="1:26" s="468" customFormat="1" ht="27.6">
      <c r="A448" s="491" t="s">
        <v>184</v>
      </c>
      <c r="B448" s="437">
        <v>46090</v>
      </c>
      <c r="C448" s="438" t="s">
        <v>2027</v>
      </c>
      <c r="D448" s="438"/>
      <c r="E448" s="721" t="s">
        <v>45</v>
      </c>
      <c r="F448" s="722">
        <v>46091</v>
      </c>
      <c r="G448" s="441"/>
      <c r="H448" s="438" t="s">
        <v>2028</v>
      </c>
      <c r="I448" s="721">
        <v>4546722214</v>
      </c>
      <c r="J448" s="444"/>
      <c r="K448" s="436"/>
      <c r="L448" s="752" t="s">
        <v>2029</v>
      </c>
      <c r="M448" s="450" t="s">
        <v>73</v>
      </c>
      <c r="N448" s="721"/>
      <c r="O448" s="438" t="s">
        <v>2035</v>
      </c>
      <c r="P448" s="438"/>
      <c r="Q448" s="458" t="s">
        <v>2001</v>
      </c>
      <c r="R448" s="437"/>
      <c r="S448" s="721">
        <v>0.5</v>
      </c>
      <c r="T448" s="721">
        <v>151.31</v>
      </c>
      <c r="U448" s="467">
        <v>1</v>
      </c>
      <c r="V448" s="436"/>
      <c r="W448" s="437"/>
      <c r="X448" s="721">
        <v>151.31</v>
      </c>
      <c r="Y448" s="721" t="s">
        <v>2043</v>
      </c>
      <c r="Z448" s="724" t="s">
        <v>122</v>
      </c>
    </row>
    <row r="449" spans="1:27" s="468" customFormat="1" ht="14.7" customHeight="1">
      <c r="A449" s="436" t="s">
        <v>2033</v>
      </c>
      <c r="B449" s="437">
        <v>46090</v>
      </c>
      <c r="C449" s="438" t="s">
        <v>2045</v>
      </c>
      <c r="D449" s="443"/>
      <c r="E449" s="721" t="s">
        <v>45</v>
      </c>
      <c r="F449" s="722">
        <v>46091</v>
      </c>
      <c r="G449" s="441"/>
      <c r="H449" s="438" t="s">
        <v>2031</v>
      </c>
      <c r="I449" s="444"/>
      <c r="J449" s="444">
        <v>4549795800</v>
      </c>
      <c r="K449" s="436"/>
      <c r="L449" s="752" t="s">
        <v>2030</v>
      </c>
      <c r="M449" s="450" t="s">
        <v>73</v>
      </c>
      <c r="N449" s="721"/>
      <c r="O449" s="438" t="s">
        <v>2034</v>
      </c>
      <c r="P449" s="438"/>
      <c r="Q449" s="458" t="s">
        <v>2001</v>
      </c>
      <c r="R449" s="437"/>
      <c r="S449" s="721">
        <v>0.5</v>
      </c>
      <c r="T449" s="721">
        <f>11.18*20</f>
        <v>223.6</v>
      </c>
      <c r="U449" s="467">
        <v>1</v>
      </c>
      <c r="V449" s="436"/>
      <c r="W449" s="437"/>
      <c r="X449" s="721">
        <f>11.18*20</f>
        <v>223.6</v>
      </c>
      <c r="Y449" s="721" t="s">
        <v>2044</v>
      </c>
      <c r="Z449" s="724" t="s">
        <v>2042</v>
      </c>
      <c r="AA449" s="468" t="s">
        <v>2032</v>
      </c>
    </row>
    <row r="450" spans="1:27" s="468" customFormat="1" ht="30.6">
      <c r="A450" s="436" t="s">
        <v>933</v>
      </c>
      <c r="B450" s="437">
        <v>46091</v>
      </c>
      <c r="C450" s="438" t="s">
        <v>2036</v>
      </c>
      <c r="D450" s="443"/>
      <c r="E450" s="723" t="s">
        <v>45</v>
      </c>
      <c r="F450" s="463">
        <v>46097</v>
      </c>
      <c r="G450" s="441"/>
      <c r="H450" s="438" t="s">
        <v>2037</v>
      </c>
      <c r="I450" s="444"/>
      <c r="J450" s="444"/>
      <c r="K450" s="436">
        <v>4549634160</v>
      </c>
      <c r="L450" s="752" t="s">
        <v>2038</v>
      </c>
      <c r="M450" s="723" t="s">
        <v>73</v>
      </c>
      <c r="N450" s="721"/>
      <c r="O450" s="874" t="s">
        <v>2053</v>
      </c>
      <c r="P450" s="787"/>
      <c r="Q450" s="458" t="s">
        <v>2001</v>
      </c>
      <c r="R450" s="437"/>
      <c r="S450" s="721">
        <v>0.5</v>
      </c>
      <c r="T450" s="721">
        <v>27.439999999999998</v>
      </c>
      <c r="U450" s="467">
        <v>1</v>
      </c>
      <c r="V450" s="436"/>
      <c r="W450" s="437"/>
      <c r="X450" s="721" t="s">
        <v>2063</v>
      </c>
      <c r="Y450" s="721" t="s">
        <v>2064</v>
      </c>
      <c r="Z450" s="724" t="s">
        <v>427</v>
      </c>
    </row>
    <row r="451" spans="1:27" s="11" customFormat="1" ht="14.7" customHeight="1">
      <c r="A451" t="s">
        <v>184</v>
      </c>
      <c r="B451" s="64">
        <v>46091</v>
      </c>
      <c r="C451" s="438" t="s">
        <v>2039</v>
      </c>
      <c r="D451" s="792" t="s">
        <v>454</v>
      </c>
      <c r="E451" s="450" t="s">
        <v>45</v>
      </c>
      <c r="F451" s="769">
        <v>46094</v>
      </c>
      <c r="G451" s="199"/>
      <c r="H451" s="763" t="s">
        <v>2040</v>
      </c>
      <c r="I451" s="756">
        <v>4549234673</v>
      </c>
      <c r="J451" s="57"/>
      <c r="K451" s="248"/>
      <c r="L451" s="752" t="s">
        <v>2041</v>
      </c>
      <c r="M451" s="450" t="s">
        <v>73</v>
      </c>
      <c r="N451" s="829"/>
      <c r="O451" s="755"/>
      <c r="P451" s="755"/>
      <c r="Q451" s="260"/>
      <c r="R451" s="758"/>
      <c r="S451" s="757"/>
      <c r="T451" s="757"/>
      <c r="U451" s="757"/>
      <c r="V451" s="204"/>
      <c r="W451" s="758"/>
      <c r="X451" s="755"/>
      <c r="Y451" s="757"/>
      <c r="Z451" s="724" t="s">
        <v>122</v>
      </c>
    </row>
    <row r="452" spans="1:27" s="11" customFormat="1" ht="27.6">
      <c r="A452" s="248" t="s">
        <v>933</v>
      </c>
      <c r="B452" s="64">
        <v>46092</v>
      </c>
      <c r="C452" s="438" t="s">
        <v>2046</v>
      </c>
      <c r="D452" s="60"/>
      <c r="E452" s="450" t="s">
        <v>45</v>
      </c>
      <c r="F452" s="768">
        <v>46097</v>
      </c>
      <c r="G452" s="199"/>
      <c r="H452" s="764" t="s">
        <v>2047</v>
      </c>
      <c r="I452" s="756"/>
      <c r="J452" s="57"/>
      <c r="K452" s="248"/>
      <c r="L452" s="199"/>
      <c r="M452" s="450" t="s">
        <v>73</v>
      </c>
      <c r="N452" s="829"/>
      <c r="O452" s="755" t="s">
        <v>2054</v>
      </c>
      <c r="P452" s="755"/>
      <c r="Q452" s="260" t="s">
        <v>2001</v>
      </c>
      <c r="R452" s="758"/>
      <c r="S452" s="757">
        <v>0.5</v>
      </c>
      <c r="T452" s="757">
        <f>(6*22.8)+(6*4.8)</f>
        <v>165.60000000000002</v>
      </c>
      <c r="U452" s="112">
        <v>1</v>
      </c>
      <c r="V452" s="204"/>
      <c r="W452" s="758"/>
      <c r="X452" s="450" t="s">
        <v>2062</v>
      </c>
      <c r="Y452" s="450" t="s">
        <v>2061</v>
      </c>
      <c r="Z452" s="724" t="s">
        <v>427</v>
      </c>
    </row>
    <row r="453" spans="1:27" s="11" customFormat="1" ht="14.7" customHeight="1">
      <c r="A453" s="538" t="s">
        <v>443</v>
      </c>
      <c r="B453" s="772">
        <v>46092</v>
      </c>
      <c r="C453" s="724" t="s">
        <v>2048</v>
      </c>
      <c r="D453" s="442"/>
      <c r="E453" s="450" t="s">
        <v>45</v>
      </c>
      <c r="F453" s="769">
        <v>46105</v>
      </c>
      <c r="G453" s="447"/>
      <c r="H453" s="442" t="s">
        <v>2049</v>
      </c>
      <c r="I453" s="450">
        <v>4538823846</v>
      </c>
      <c r="J453" s="850">
        <v>4549735935</v>
      </c>
      <c r="K453" s="448"/>
      <c r="L453" s="447"/>
      <c r="M453" s="450" t="s">
        <v>73</v>
      </c>
      <c r="N453" s="826"/>
      <c r="O453" s="442" t="s">
        <v>2089</v>
      </c>
      <c r="P453" s="442"/>
      <c r="Q453" s="451" t="s">
        <v>2001</v>
      </c>
      <c r="R453" s="445"/>
      <c r="S453" s="450">
        <v>0.5</v>
      </c>
      <c r="T453" s="450">
        <v>61.8</v>
      </c>
      <c r="U453" s="770">
        <v>1</v>
      </c>
      <c r="V453" s="446"/>
      <c r="W453" s="445"/>
      <c r="X453" s="450">
        <v>61.8</v>
      </c>
      <c r="Y453" s="450" t="s">
        <v>2090</v>
      </c>
      <c r="Z453" s="724" t="s">
        <v>279</v>
      </c>
    </row>
    <row r="454" spans="1:27" s="18" customFormat="1" ht="27.6">
      <c r="A454" s="246" t="s">
        <v>933</v>
      </c>
      <c r="B454" s="88">
        <v>46092</v>
      </c>
      <c r="C454" s="477" t="s">
        <v>2050</v>
      </c>
      <c r="D454" s="239"/>
      <c r="E454" s="22" t="s">
        <v>45</v>
      </c>
      <c r="F454" s="377">
        <v>46097</v>
      </c>
      <c r="G454" s="201"/>
      <c r="H454" s="62">
        <v>11912259</v>
      </c>
      <c r="I454" s="96"/>
      <c r="J454" s="96"/>
      <c r="K454" s="246"/>
      <c r="L454" s="247" t="s">
        <v>2051</v>
      </c>
      <c r="M454" s="22" t="s">
        <v>73</v>
      </c>
      <c r="N454" s="22"/>
      <c r="O454" s="62" t="s">
        <v>2054</v>
      </c>
      <c r="P454" s="62"/>
      <c r="Q454" s="270" t="s">
        <v>2055</v>
      </c>
      <c r="R454" s="88"/>
      <c r="S454" s="22">
        <v>0.5</v>
      </c>
      <c r="T454" s="22">
        <f>(6*22.8)+(6*4.8)</f>
        <v>165.60000000000002</v>
      </c>
      <c r="U454" s="121">
        <v>1</v>
      </c>
      <c r="V454" s="246"/>
      <c r="W454" s="88"/>
      <c r="X454" s="22" t="s">
        <v>2062</v>
      </c>
      <c r="Y454" s="22" t="s">
        <v>2061</v>
      </c>
      <c r="Z454" s="477" t="s">
        <v>427</v>
      </c>
    </row>
    <row r="455" spans="1:27" s="18" customFormat="1" ht="30.75" customHeight="1">
      <c r="A455" s="248" t="s">
        <v>222</v>
      </c>
      <c r="B455" s="777">
        <v>46097</v>
      </c>
      <c r="C455" s="778" t="s">
        <v>2075</v>
      </c>
      <c r="D455" s="60"/>
      <c r="E455" s="450" t="s">
        <v>45</v>
      </c>
      <c r="F455" s="776">
        <v>46098</v>
      </c>
      <c r="G455" s="199"/>
      <c r="H455" s="381" t="s">
        <v>2057</v>
      </c>
      <c r="I455" s="774"/>
      <c r="J455" s="839"/>
      <c r="K455" s="248"/>
      <c r="L455" s="762" t="s">
        <v>2058</v>
      </c>
      <c r="M455" s="450" t="s">
        <v>73</v>
      </c>
      <c r="N455" s="829"/>
      <c r="O455" s="773" t="s">
        <v>2073</v>
      </c>
      <c r="P455" s="773"/>
      <c r="Q455" s="260" t="s">
        <v>2055</v>
      </c>
      <c r="R455" s="777"/>
      <c r="S455" s="775">
        <v>0.5</v>
      </c>
      <c r="T455" s="775">
        <f>(4*76.14)+(4*13.6)</f>
        <v>358.96</v>
      </c>
      <c r="U455" s="112">
        <v>1</v>
      </c>
      <c r="V455" s="248"/>
      <c r="W455" s="777"/>
      <c r="X455" s="773"/>
      <c r="Y455" s="775" t="s">
        <v>2074</v>
      </c>
      <c r="Z455" s="724" t="s">
        <v>2056</v>
      </c>
    </row>
    <row r="456" spans="1:27" s="883" customFormat="1" ht="28.5" customHeight="1">
      <c r="A456" s="667" t="s">
        <v>2088</v>
      </c>
      <c r="B456" s="877">
        <v>46099</v>
      </c>
      <c r="C456" s="878" t="s">
        <v>2077</v>
      </c>
      <c r="D456" s="669"/>
      <c r="E456" s="669"/>
      <c r="F456" s="884" t="s">
        <v>2157</v>
      </c>
      <c r="G456" s="879"/>
      <c r="H456" s="880" t="s">
        <v>2078</v>
      </c>
      <c r="I456" s="699"/>
      <c r="J456" s="699"/>
      <c r="K456" s="667"/>
      <c r="L456" s="879"/>
      <c r="M456" s="881" t="s">
        <v>73</v>
      </c>
      <c r="N456" s="699"/>
      <c r="O456" s="669"/>
      <c r="P456" s="669"/>
      <c r="Q456" s="882"/>
      <c r="R456" s="877"/>
      <c r="S456" s="699"/>
      <c r="T456" s="699"/>
      <c r="U456" s="699"/>
      <c r="V456" s="667"/>
      <c r="W456" s="877"/>
      <c r="X456" s="669"/>
      <c r="Y456" s="699"/>
      <c r="Z456" s="878" t="s">
        <v>2125</v>
      </c>
    </row>
    <row r="457" spans="1:27" s="18" customFormat="1" ht="14.25" customHeight="1">
      <c r="A457" s="448" t="s">
        <v>1961</v>
      </c>
      <c r="B457" s="445">
        <v>46100</v>
      </c>
      <c r="C457" s="724" t="s">
        <v>2080</v>
      </c>
      <c r="D457" s="760"/>
      <c r="E457" s="450" t="s">
        <v>45</v>
      </c>
      <c r="F457" s="768">
        <v>46101</v>
      </c>
      <c r="G457" s="447"/>
      <c r="H457" s="789"/>
      <c r="I457" s="761"/>
      <c r="J457" s="761"/>
      <c r="K457" s="448"/>
      <c r="L457" s="447"/>
      <c r="M457" s="450" t="s">
        <v>73</v>
      </c>
      <c r="N457" s="790">
        <v>36143</v>
      </c>
      <c r="O457" s="442"/>
      <c r="P457" s="442"/>
      <c r="Q457" s="451"/>
      <c r="R457" s="445"/>
      <c r="S457" s="450"/>
      <c r="T457" s="450"/>
      <c r="U457" s="450"/>
      <c r="V457" s="448"/>
      <c r="W457" s="445"/>
      <c r="X457" s="442"/>
      <c r="Y457" s="450" t="s">
        <v>2087</v>
      </c>
      <c r="Z457" s="724" t="s">
        <v>1962</v>
      </c>
    </row>
    <row r="458" spans="1:27" s="18" customFormat="1" ht="14.4">
      <c r="A458" s="276" t="s">
        <v>184</v>
      </c>
      <c r="B458" s="88">
        <v>46100</v>
      </c>
      <c r="C458" s="477" t="s">
        <v>2081</v>
      </c>
      <c r="D458" s="239"/>
      <c r="E458" s="62"/>
      <c r="F458" s="246"/>
      <c r="G458" s="201"/>
      <c r="H458" s="791" t="s">
        <v>2082</v>
      </c>
      <c r="I458" s="96"/>
      <c r="J458" s="96"/>
      <c r="K458" s="246"/>
      <c r="L458" s="258" t="s">
        <v>2083</v>
      </c>
      <c r="M458" s="22" t="s">
        <v>73</v>
      </c>
      <c r="N458" s="22"/>
      <c r="O458" s="62"/>
      <c r="P458" s="62"/>
      <c r="Q458" s="270"/>
      <c r="R458" s="88"/>
      <c r="S458" s="22"/>
      <c r="T458" s="22"/>
      <c r="U458" s="22"/>
      <c r="V458" s="448"/>
      <c r="W458" s="88"/>
      <c r="X458" s="62"/>
      <c r="Y458" s="22"/>
      <c r="Z458" s="477" t="s">
        <v>122</v>
      </c>
    </row>
    <row r="459" spans="1:27" s="18" customFormat="1" ht="12.75" customHeight="1">
      <c r="A459" s="962" t="s">
        <v>184</v>
      </c>
      <c r="B459" s="964">
        <v>46105</v>
      </c>
      <c r="C459" s="965" t="s">
        <v>2091</v>
      </c>
      <c r="D459" s="60"/>
      <c r="E459" s="946" t="s">
        <v>45</v>
      </c>
      <c r="F459" s="948">
        <v>46111</v>
      </c>
      <c r="G459" s="199"/>
      <c r="H459" s="381" t="s">
        <v>2092</v>
      </c>
      <c r="I459" s="786"/>
      <c r="J459" s="839"/>
      <c r="K459" s="248"/>
      <c r="L459" s="967">
        <v>51962491</v>
      </c>
      <c r="M459" s="450" t="s">
        <v>73</v>
      </c>
      <c r="N459" s="721">
        <v>37021</v>
      </c>
      <c r="O459" s="381" t="s">
        <v>2115</v>
      </c>
      <c r="P459" s="785"/>
      <c r="Q459" s="260" t="s">
        <v>2001</v>
      </c>
      <c r="R459" s="784"/>
      <c r="S459" s="783">
        <v>0.5</v>
      </c>
      <c r="T459" s="783">
        <v>491.17</v>
      </c>
      <c r="U459" s="112">
        <v>0.8</v>
      </c>
      <c r="V459" s="816" t="s">
        <v>2122</v>
      </c>
      <c r="W459" s="784" t="s">
        <v>2123</v>
      </c>
      <c r="X459" s="812">
        <v>491.17</v>
      </c>
      <c r="Y459" s="783" t="s">
        <v>2124</v>
      </c>
      <c r="Z459" s="724" t="s">
        <v>122</v>
      </c>
    </row>
    <row r="460" spans="1:27" s="18" customFormat="1" ht="11.25" customHeight="1">
      <c r="A460" s="963"/>
      <c r="B460" s="939"/>
      <c r="C460" s="966"/>
      <c r="D460" s="60"/>
      <c r="E460" s="947"/>
      <c r="F460" s="949"/>
      <c r="G460" s="199"/>
      <c r="H460" s="381" t="s">
        <v>2093</v>
      </c>
      <c r="I460" s="786"/>
      <c r="J460" s="839"/>
      <c r="K460" s="248"/>
      <c r="L460" s="968"/>
      <c r="M460" s="450" t="s">
        <v>73</v>
      </c>
      <c r="N460" s="721">
        <v>37023</v>
      </c>
      <c r="O460" s="381" t="s">
        <v>2115</v>
      </c>
      <c r="P460" s="800"/>
      <c r="Q460" s="260" t="s">
        <v>2001</v>
      </c>
      <c r="R460" s="802"/>
      <c r="S460" s="801">
        <v>0.5</v>
      </c>
      <c r="T460" s="801">
        <v>491.17</v>
      </c>
      <c r="U460" s="112">
        <v>0.8</v>
      </c>
      <c r="V460" s="815" t="s">
        <v>2122</v>
      </c>
      <c r="W460" s="813" t="s">
        <v>2123</v>
      </c>
      <c r="X460" s="812">
        <v>491.17</v>
      </c>
      <c r="Y460" s="812" t="s">
        <v>2124</v>
      </c>
      <c r="Z460" s="916" t="s">
        <v>122</v>
      </c>
    </row>
    <row r="461" spans="1:27" s="18" customFormat="1" ht="11.25" customHeight="1">
      <c r="A461" s="963"/>
      <c r="B461" s="939"/>
      <c r="C461" s="966"/>
      <c r="D461" s="60"/>
      <c r="E461" s="947"/>
      <c r="F461" s="949"/>
      <c r="G461" s="199"/>
      <c r="H461" s="381" t="s">
        <v>2094</v>
      </c>
      <c r="I461" s="786"/>
      <c r="J461" s="839"/>
      <c r="K461" s="248"/>
      <c r="L461" s="968"/>
      <c r="M461" s="450" t="s">
        <v>73</v>
      </c>
      <c r="N461" s="721">
        <v>37031</v>
      </c>
      <c r="O461" s="381" t="s">
        <v>2115</v>
      </c>
      <c r="P461" s="800"/>
      <c r="Q461" s="260" t="s">
        <v>2001</v>
      </c>
      <c r="R461" s="802"/>
      <c r="S461" s="801">
        <v>0.5</v>
      </c>
      <c r="T461" s="801">
        <v>491.17</v>
      </c>
      <c r="U461" s="112">
        <v>0.8</v>
      </c>
      <c r="V461" s="815" t="s">
        <v>2122</v>
      </c>
      <c r="W461" s="813" t="s">
        <v>2123</v>
      </c>
      <c r="X461" s="812">
        <v>491.17</v>
      </c>
      <c r="Y461" s="812" t="s">
        <v>2124</v>
      </c>
      <c r="Z461" s="834" t="s">
        <v>122</v>
      </c>
    </row>
    <row r="462" spans="1:27" s="18" customFormat="1" ht="12" customHeight="1">
      <c r="A462" s="963"/>
      <c r="B462" s="939"/>
      <c r="C462" s="966"/>
      <c r="D462" s="60"/>
      <c r="E462" s="947"/>
      <c r="F462" s="949"/>
      <c r="G462" s="199"/>
      <c r="H462" s="381" t="s">
        <v>2095</v>
      </c>
      <c r="I462" s="786"/>
      <c r="J462" s="839"/>
      <c r="K462" s="248"/>
      <c r="L462" s="968"/>
      <c r="M462" s="450" t="s">
        <v>73</v>
      </c>
      <c r="N462" s="721">
        <v>37049</v>
      </c>
      <c r="O462" s="381" t="s">
        <v>2115</v>
      </c>
      <c r="P462" s="800"/>
      <c r="Q462" s="260" t="s">
        <v>2001</v>
      </c>
      <c r="R462" s="802"/>
      <c r="S462" s="801">
        <v>0.5</v>
      </c>
      <c r="T462" s="801">
        <v>491.17</v>
      </c>
      <c r="U462" s="112">
        <v>0.8</v>
      </c>
      <c r="V462" s="815" t="s">
        <v>2122</v>
      </c>
      <c r="W462" s="813" t="s">
        <v>2123</v>
      </c>
      <c r="X462" s="812">
        <v>491.17</v>
      </c>
      <c r="Y462" s="812" t="s">
        <v>2124</v>
      </c>
      <c r="Z462" s="834" t="s">
        <v>122</v>
      </c>
    </row>
    <row r="463" spans="1:27" s="870" customFormat="1" ht="14.25" customHeight="1">
      <c r="A463" s="861" t="s">
        <v>2097</v>
      </c>
      <c r="B463" s="862">
        <v>46106</v>
      </c>
      <c r="C463" s="863" t="s">
        <v>2099</v>
      </c>
      <c r="D463" s="721" t="s">
        <v>454</v>
      </c>
      <c r="E463" s="721" t="s">
        <v>45</v>
      </c>
      <c r="F463" s="437">
        <v>46121</v>
      </c>
      <c r="G463" s="864"/>
      <c r="H463" s="865" t="s">
        <v>2100</v>
      </c>
      <c r="I463" s="866"/>
      <c r="J463" s="866"/>
      <c r="K463" s="861"/>
      <c r="L463" s="864" t="s">
        <v>2119</v>
      </c>
      <c r="M463" s="867" t="s">
        <v>73</v>
      </c>
      <c r="N463" s="721"/>
      <c r="O463" s="868" t="s">
        <v>2116</v>
      </c>
      <c r="P463" s="868"/>
      <c r="Q463" s="869"/>
      <c r="R463" s="862"/>
      <c r="S463" s="866"/>
      <c r="T463" s="866"/>
      <c r="U463" s="866"/>
      <c r="V463" s="861"/>
      <c r="W463" s="862"/>
      <c r="X463" s="868"/>
      <c r="Y463" s="866"/>
      <c r="Z463" s="868" t="s">
        <v>2098</v>
      </c>
    </row>
    <row r="464" spans="1:27" s="468" customFormat="1" ht="14.25" customHeight="1">
      <c r="A464" s="436" t="s">
        <v>1470</v>
      </c>
      <c r="B464" s="437">
        <v>46106</v>
      </c>
      <c r="C464" s="834">
        <v>11862225</v>
      </c>
      <c r="D464" s="438"/>
      <c r="E464" s="721" t="s">
        <v>45</v>
      </c>
      <c r="F464" s="437">
        <v>46111</v>
      </c>
      <c r="G464" s="441"/>
      <c r="H464" s="545" t="s">
        <v>2101</v>
      </c>
      <c r="I464" s="721"/>
      <c r="J464" s="444">
        <v>4550081073</v>
      </c>
      <c r="K464" s="436"/>
      <c r="L464" s="441" t="s">
        <v>2102</v>
      </c>
      <c r="M464" s="723" t="s">
        <v>73</v>
      </c>
      <c r="N464" s="721">
        <v>5888887</v>
      </c>
      <c r="O464" s="438" t="s">
        <v>2086</v>
      </c>
      <c r="P464" s="438"/>
      <c r="Q464" s="458" t="s">
        <v>1790</v>
      </c>
      <c r="R464" s="437"/>
      <c r="S464" s="721">
        <v>0.5</v>
      </c>
      <c r="T464" s="721">
        <v>1212.83</v>
      </c>
      <c r="U464" s="467">
        <v>1</v>
      </c>
      <c r="V464" s="436"/>
      <c r="W464" s="437" t="s">
        <v>2121</v>
      </c>
      <c r="X464" s="438"/>
      <c r="Y464" s="721" t="s">
        <v>2120</v>
      </c>
      <c r="Z464" s="834" t="s">
        <v>1468</v>
      </c>
    </row>
    <row r="465" spans="1:26" s="718" customFormat="1" ht="14.25" customHeight="1">
      <c r="A465" s="436" t="s">
        <v>1961</v>
      </c>
      <c r="B465" s="437">
        <v>46106</v>
      </c>
      <c r="C465" s="834" t="s">
        <v>2103</v>
      </c>
      <c r="D465" s="438"/>
      <c r="E465" s="721" t="s">
        <v>45</v>
      </c>
      <c r="F465" s="437">
        <v>46121</v>
      </c>
      <c r="G465" s="441"/>
      <c r="H465" s="545">
        <v>11876300</v>
      </c>
      <c r="I465" s="721"/>
      <c r="J465" s="444"/>
      <c r="K465" s="436"/>
      <c r="L465" s="441" t="s">
        <v>2105</v>
      </c>
      <c r="M465" s="723" t="s">
        <v>73</v>
      </c>
      <c r="N465" s="721">
        <v>5888880</v>
      </c>
      <c r="O465" s="438" t="s">
        <v>2086</v>
      </c>
      <c r="P465" s="443"/>
      <c r="Q465" s="458" t="s">
        <v>1790</v>
      </c>
      <c r="R465" s="437"/>
      <c r="S465" s="721">
        <v>0.5</v>
      </c>
      <c r="T465" s="721">
        <v>648.96</v>
      </c>
      <c r="U465" s="467">
        <v>1</v>
      </c>
      <c r="V465" s="779"/>
      <c r="W465" s="836"/>
      <c r="X465" s="444"/>
      <c r="Y465" s="444" t="s">
        <v>2151</v>
      </c>
      <c r="Z465" s="834" t="s">
        <v>1962</v>
      </c>
    </row>
    <row r="466" spans="1:26" s="468" customFormat="1" ht="14.25" customHeight="1">
      <c r="A466" s="436" t="s">
        <v>1961</v>
      </c>
      <c r="B466" s="437">
        <v>46106</v>
      </c>
      <c r="C466" s="834" t="s">
        <v>2104</v>
      </c>
      <c r="D466" s="443"/>
      <c r="E466" s="721" t="s">
        <v>45</v>
      </c>
      <c r="F466" s="437">
        <v>46121</v>
      </c>
      <c r="G466" s="441"/>
      <c r="H466" s="545">
        <v>11876298</v>
      </c>
      <c r="I466" s="444"/>
      <c r="J466" s="444">
        <v>4550080990</v>
      </c>
      <c r="K466" s="436"/>
      <c r="L466" s="441" t="s">
        <v>2105</v>
      </c>
      <c r="M466" s="723" t="s">
        <v>73</v>
      </c>
      <c r="N466" s="721">
        <v>5888881</v>
      </c>
      <c r="O466" s="438" t="s">
        <v>2086</v>
      </c>
      <c r="P466" s="438"/>
      <c r="Q466" s="458" t="s">
        <v>1790</v>
      </c>
      <c r="R466" s="437"/>
      <c r="S466" s="721">
        <v>0.5</v>
      </c>
      <c r="T466" s="721">
        <v>648.96</v>
      </c>
      <c r="U466" s="467">
        <v>1</v>
      </c>
      <c r="V466" s="436"/>
      <c r="W466" s="437"/>
      <c r="X466" s="438"/>
      <c r="Y466" s="444" t="s">
        <v>2151</v>
      </c>
      <c r="Z466" s="834" t="s">
        <v>1962</v>
      </c>
    </row>
    <row r="467" spans="1:26" s="468" customFormat="1" ht="14.25" customHeight="1">
      <c r="A467" s="436" t="s">
        <v>1575</v>
      </c>
      <c r="B467" s="437">
        <v>46106</v>
      </c>
      <c r="C467" s="803" t="s">
        <v>2106</v>
      </c>
      <c r="D467" s="443"/>
      <c r="E467" s="721" t="s">
        <v>45</v>
      </c>
      <c r="F467" s="437">
        <v>46107</v>
      </c>
      <c r="G467" s="441"/>
      <c r="H467" s="545" t="s">
        <v>2107</v>
      </c>
      <c r="I467" s="444"/>
      <c r="J467" s="444"/>
      <c r="K467" s="436"/>
      <c r="L467" s="441" t="s">
        <v>2108</v>
      </c>
      <c r="M467" s="723" t="s">
        <v>73</v>
      </c>
      <c r="N467" s="721"/>
      <c r="O467" s="468" t="s">
        <v>2117</v>
      </c>
      <c r="P467" s="438"/>
      <c r="Q467" s="458" t="s">
        <v>2001</v>
      </c>
      <c r="R467" s="437"/>
      <c r="S467" s="721">
        <v>0.5</v>
      </c>
      <c r="T467" s="721">
        <v>35</v>
      </c>
      <c r="U467" s="467">
        <v>1</v>
      </c>
      <c r="V467" s="436"/>
      <c r="W467" s="437" t="s">
        <v>2118</v>
      </c>
      <c r="X467" s="721">
        <v>113.3</v>
      </c>
      <c r="Y467" s="721">
        <v>113</v>
      </c>
      <c r="Z467" s="811" t="s">
        <v>868</v>
      </c>
    </row>
    <row r="468" spans="1:26" s="18" customFormat="1" ht="14.25" customHeight="1">
      <c r="A468" s="246" t="s">
        <v>2111</v>
      </c>
      <c r="B468" s="88">
        <v>46107</v>
      </c>
      <c r="C468" s="477">
        <v>4549543220</v>
      </c>
      <c r="D468" s="62"/>
      <c r="E468" s="22" t="s">
        <v>45</v>
      </c>
      <c r="F468" s="88">
        <v>46107</v>
      </c>
      <c r="G468" s="201"/>
      <c r="H468" s="791" t="s">
        <v>2109</v>
      </c>
      <c r="I468" s="22"/>
      <c r="J468" s="96">
        <v>4549730496</v>
      </c>
      <c r="K468" s="842"/>
      <c r="L468" s="814" t="s">
        <v>2112</v>
      </c>
      <c r="M468" s="22" t="s">
        <v>73</v>
      </c>
      <c r="N468" s="22" t="s">
        <v>1327</v>
      </c>
      <c r="O468" s="62" t="s">
        <v>1327</v>
      </c>
      <c r="P468" s="62"/>
      <c r="Q468" s="270" t="s">
        <v>1327</v>
      </c>
      <c r="R468" s="88"/>
      <c r="S468" s="22"/>
      <c r="T468" s="22"/>
      <c r="U468" s="22"/>
      <c r="V468" s="246"/>
      <c r="W468" s="88" t="s">
        <v>881</v>
      </c>
      <c r="X468" s="22" t="s">
        <v>2113</v>
      </c>
      <c r="Y468" s="22" t="s">
        <v>2114</v>
      </c>
      <c r="Z468" s="62" t="s">
        <v>2110</v>
      </c>
    </row>
    <row r="469" spans="1:26" s="718" customFormat="1" ht="51">
      <c r="A469" s="897" t="s">
        <v>933</v>
      </c>
      <c r="B469" s="898">
        <v>46113</v>
      </c>
      <c r="C469" s="840" t="s">
        <v>2126</v>
      </c>
      <c r="D469" s="840"/>
      <c r="E469" s="841" t="s">
        <v>45</v>
      </c>
      <c r="F469" s="898">
        <v>46120</v>
      </c>
      <c r="G469" s="899"/>
      <c r="H469" s="900" t="s">
        <v>2127</v>
      </c>
      <c r="I469" s="841"/>
      <c r="J469" s="841">
        <v>4549993935</v>
      </c>
      <c r="K469" s="897"/>
      <c r="L469" s="901" t="s">
        <v>2128</v>
      </c>
      <c r="M469" s="841" t="s">
        <v>73</v>
      </c>
      <c r="N469" s="841"/>
      <c r="O469" s="900" t="s">
        <v>2131</v>
      </c>
      <c r="P469" s="840"/>
      <c r="Q469" s="902" t="s">
        <v>2001</v>
      </c>
      <c r="R469" s="898"/>
      <c r="S469" s="841">
        <v>0.5</v>
      </c>
      <c r="T469" s="841">
        <f>(3*11.99)+(3*4.55)+(3*5.78)+(2*7.43)+(2*0.44)</f>
        <v>82.699999999999989</v>
      </c>
      <c r="U469" s="903">
        <v>1</v>
      </c>
      <c r="V469" s="897"/>
      <c r="W469" s="898"/>
      <c r="X469" s="840"/>
      <c r="Y469" s="841">
        <v>161</v>
      </c>
      <c r="Z469" s="840" t="s">
        <v>427</v>
      </c>
    </row>
    <row r="470" spans="1:26" s="468" customFormat="1" ht="14.25" customHeight="1">
      <c r="A470" s="478" t="s">
        <v>443</v>
      </c>
      <c r="B470" s="473">
        <v>46113</v>
      </c>
      <c r="C470" s="477" t="s">
        <v>2129</v>
      </c>
      <c r="D470" s="474"/>
      <c r="E470" s="480" t="s">
        <v>45</v>
      </c>
      <c r="F470" s="473">
        <v>46120</v>
      </c>
      <c r="G470" s="476"/>
      <c r="H470" s="554"/>
      <c r="I470" s="484"/>
      <c r="J470" s="854">
        <v>4547765335</v>
      </c>
      <c r="K470" s="478"/>
      <c r="L470" s="476"/>
      <c r="M470" s="480" t="s">
        <v>73</v>
      </c>
      <c r="N470" s="480"/>
      <c r="O470" s="477" t="s">
        <v>2130</v>
      </c>
      <c r="P470" s="477"/>
      <c r="Q470" s="481" t="s">
        <v>2001</v>
      </c>
      <c r="R470" s="473"/>
      <c r="S470" s="480">
        <v>0.5</v>
      </c>
      <c r="T470" s="480">
        <v>25.15</v>
      </c>
      <c r="U470" s="482">
        <v>1</v>
      </c>
      <c r="V470" s="478"/>
      <c r="W470" s="473"/>
      <c r="X470" s="480">
        <v>25.15</v>
      </c>
      <c r="Y470" s="480">
        <v>103.44999999999999</v>
      </c>
      <c r="Z470" s="477" t="s">
        <v>279</v>
      </c>
    </row>
    <row r="471" spans="1:26" s="18" customFormat="1" ht="14.25" customHeight="1">
      <c r="A471" s="830" t="s">
        <v>184</v>
      </c>
      <c r="B471" s="796">
        <v>46119</v>
      </c>
      <c r="C471" s="834" t="s">
        <v>2132</v>
      </c>
      <c r="D471" s="831" t="s">
        <v>966</v>
      </c>
      <c r="E471" s="721" t="s">
        <v>45</v>
      </c>
      <c r="F471" s="437">
        <v>46120</v>
      </c>
      <c r="G471" s="199"/>
      <c r="H471" s="381"/>
      <c r="I471" s="794"/>
      <c r="J471" s="839"/>
      <c r="K471" s="248"/>
      <c r="L471" s="199"/>
      <c r="M471" s="450" t="s">
        <v>73</v>
      </c>
      <c r="N471" s="829"/>
      <c r="O471" s="438" t="s">
        <v>2145</v>
      </c>
      <c r="P471" s="793"/>
      <c r="Q471" s="260"/>
      <c r="R471" s="796"/>
      <c r="S471" s="795"/>
      <c r="T471" s="795"/>
      <c r="U471" s="795"/>
      <c r="V471" s="248"/>
      <c r="W471" s="796"/>
      <c r="X471" s="793"/>
      <c r="Y471" s="795" t="s">
        <v>1943</v>
      </c>
      <c r="Z471" s="820" t="s">
        <v>122</v>
      </c>
    </row>
    <row r="472" spans="1:26" s="18" customFormat="1" ht="61.2">
      <c r="A472" s="830" t="s">
        <v>2134</v>
      </c>
      <c r="B472" s="818">
        <v>46120</v>
      </c>
      <c r="C472" s="834" t="s">
        <v>2133</v>
      </c>
      <c r="D472" s="817" t="s">
        <v>2139</v>
      </c>
      <c r="E472" s="721" t="s">
        <v>45</v>
      </c>
      <c r="F472" s="437">
        <v>46121</v>
      </c>
      <c r="G472" s="199"/>
      <c r="H472" s="381" t="s">
        <v>2136</v>
      </c>
      <c r="I472" s="821"/>
      <c r="J472" s="894">
        <v>4549993935</v>
      </c>
      <c r="K472" s="248"/>
      <c r="L472" s="199"/>
      <c r="M472" s="822" t="s">
        <v>73</v>
      </c>
      <c r="N472" s="829"/>
      <c r="O472" s="381" t="s">
        <v>2152</v>
      </c>
      <c r="P472" s="819"/>
      <c r="Q472" s="823" t="s">
        <v>2001</v>
      </c>
      <c r="R472" s="818"/>
      <c r="S472" s="817">
        <v>0.5</v>
      </c>
      <c r="T472" s="817">
        <v>150.38999999999999</v>
      </c>
      <c r="U472" s="467">
        <v>1</v>
      </c>
      <c r="V472" s="248"/>
      <c r="W472" s="818"/>
      <c r="X472" s="819"/>
      <c r="Y472" s="817" t="s">
        <v>2153</v>
      </c>
      <c r="Z472" s="819" t="s">
        <v>2135</v>
      </c>
    </row>
    <row r="473" spans="1:26" s="18" customFormat="1" ht="61.2">
      <c r="A473" s="830" t="s">
        <v>2134</v>
      </c>
      <c r="B473" s="818">
        <v>46120</v>
      </c>
      <c r="C473" s="834" t="s">
        <v>2137</v>
      </c>
      <c r="D473" s="817" t="s">
        <v>2139</v>
      </c>
      <c r="E473" s="721" t="s">
        <v>45</v>
      </c>
      <c r="F473" s="437">
        <v>46121</v>
      </c>
      <c r="G473" s="199"/>
      <c r="H473" s="381" t="s">
        <v>2138</v>
      </c>
      <c r="I473" s="821"/>
      <c r="J473" s="894">
        <v>4549993936</v>
      </c>
      <c r="K473" s="248"/>
      <c r="L473" s="199"/>
      <c r="M473" s="822" t="s">
        <v>73</v>
      </c>
      <c r="N473" s="829"/>
      <c r="O473" s="381" t="s">
        <v>2152</v>
      </c>
      <c r="P473" s="819"/>
      <c r="Q473" s="823" t="s">
        <v>2001</v>
      </c>
      <c r="R473" s="818"/>
      <c r="S473" s="817">
        <v>0.5</v>
      </c>
      <c r="T473" s="817">
        <v>150.38999999999999</v>
      </c>
      <c r="U473" s="467">
        <v>1</v>
      </c>
      <c r="V473" s="248"/>
      <c r="W473" s="818"/>
      <c r="X473" s="819"/>
      <c r="Y473" s="837" t="s">
        <v>2153</v>
      </c>
      <c r="Z473" s="819" t="s">
        <v>2135</v>
      </c>
    </row>
    <row r="474" spans="1:26" s="468" customFormat="1" ht="14.25" customHeight="1">
      <c r="A474" s="876" t="s">
        <v>2143</v>
      </c>
      <c r="B474" s="437">
        <v>46120</v>
      </c>
      <c r="C474" s="573">
        <v>11823492</v>
      </c>
      <c r="H474" s="545" t="s">
        <v>2140</v>
      </c>
      <c r="I474" s="444"/>
      <c r="J474" s="444"/>
      <c r="K474" s="436"/>
      <c r="L474" s="866" t="s">
        <v>2160</v>
      </c>
      <c r="M474" s="866"/>
      <c r="N474" s="721">
        <v>5888877</v>
      </c>
      <c r="O474" s="438" t="s">
        <v>2086</v>
      </c>
      <c r="P474" s="438"/>
      <c r="Q474" s="458" t="s">
        <v>1790</v>
      </c>
      <c r="R474" s="437"/>
      <c r="S474" s="721">
        <v>0.5</v>
      </c>
      <c r="T474" s="721">
        <v>13061.150000000003</v>
      </c>
      <c r="U474" s="467">
        <v>1</v>
      </c>
      <c r="V474" s="436"/>
      <c r="W474" s="437"/>
      <c r="X474" s="438"/>
      <c r="Y474" s="721"/>
      <c r="Z474" s="438" t="s">
        <v>2144</v>
      </c>
    </row>
    <row r="475" spans="1:26" s="468" customFormat="1" ht="14.25" customHeight="1">
      <c r="A475" s="876" t="s">
        <v>2143</v>
      </c>
      <c r="B475" s="437">
        <v>46120</v>
      </c>
      <c r="C475" s="573">
        <v>11823493</v>
      </c>
      <c r="H475" s="545" t="s">
        <v>2141</v>
      </c>
      <c r="I475" s="444"/>
      <c r="J475" s="444"/>
      <c r="K475" s="436"/>
      <c r="L475" s="866" t="s">
        <v>2160</v>
      </c>
      <c r="M475" s="866"/>
      <c r="N475" s="721">
        <v>5888876</v>
      </c>
      <c r="O475" s="438" t="s">
        <v>2086</v>
      </c>
      <c r="P475" s="438"/>
      <c r="Q475" s="458" t="s">
        <v>1790</v>
      </c>
      <c r="R475" s="437"/>
      <c r="S475" s="721">
        <v>0.5</v>
      </c>
      <c r="T475" s="721">
        <v>15587.970000000007</v>
      </c>
      <c r="U475" s="467">
        <v>1</v>
      </c>
      <c r="V475" s="436"/>
      <c r="W475" s="437"/>
      <c r="X475" s="438"/>
      <c r="Y475" s="721"/>
      <c r="Z475" s="438" t="s">
        <v>2144</v>
      </c>
    </row>
    <row r="476" spans="1:26" s="468" customFormat="1" ht="14.25" customHeight="1">
      <c r="A476" s="876" t="s">
        <v>2143</v>
      </c>
      <c r="B476" s="437">
        <v>46120</v>
      </c>
      <c r="C476" s="573">
        <v>11823494</v>
      </c>
      <c r="H476" s="545" t="s">
        <v>2142</v>
      </c>
      <c r="I476" s="444"/>
      <c r="J476" s="444"/>
      <c r="K476" s="436"/>
      <c r="L476" s="866" t="s">
        <v>2160</v>
      </c>
      <c r="M476" s="866"/>
      <c r="N476" s="721">
        <v>5888875</v>
      </c>
      <c r="O476" s="438" t="s">
        <v>2086</v>
      </c>
      <c r="P476" s="438"/>
      <c r="Q476" s="458" t="s">
        <v>1790</v>
      </c>
      <c r="R476" s="437"/>
      <c r="S476" s="721">
        <v>0.5</v>
      </c>
      <c r="T476" s="721">
        <v>13149.350000000002</v>
      </c>
      <c r="U476" s="467">
        <v>1</v>
      </c>
      <c r="V476" s="436"/>
      <c r="W476" s="437"/>
      <c r="X476" s="438"/>
      <c r="Y476" s="721"/>
      <c r="Z476" s="438" t="s">
        <v>2144</v>
      </c>
    </row>
    <row r="477" spans="1:26" s="468" customFormat="1" ht="50.25" customHeight="1">
      <c r="A477" s="549" t="s">
        <v>2204</v>
      </c>
      <c r="B477" s="437">
        <v>46121</v>
      </c>
      <c r="C477" s="573" t="s">
        <v>2202</v>
      </c>
      <c r="D477" s="866"/>
      <c r="E477" s="721" t="s">
        <v>45</v>
      </c>
      <c r="F477" s="437">
        <v>46136</v>
      </c>
      <c r="G477" s="441"/>
      <c r="H477" s="936"/>
      <c r="I477" s="444"/>
      <c r="J477" s="444"/>
      <c r="K477" s="436"/>
      <c r="L477" s="781" t="s">
        <v>2203</v>
      </c>
      <c r="M477" s="723" t="s">
        <v>73</v>
      </c>
      <c r="N477" s="721"/>
      <c r="O477" s="438"/>
      <c r="P477" s="438"/>
      <c r="Q477" s="458" t="s">
        <v>1790</v>
      </c>
      <c r="R477" s="437"/>
      <c r="S477" s="721">
        <v>0.5</v>
      </c>
      <c r="T477" s="721">
        <v>166.85</v>
      </c>
      <c r="U477" s="467">
        <v>1</v>
      </c>
      <c r="V477" s="436"/>
      <c r="W477" s="437"/>
      <c r="X477" s="438"/>
      <c r="Y477" s="721" t="s">
        <v>2211</v>
      </c>
      <c r="Z477" s="438" t="s">
        <v>2146</v>
      </c>
    </row>
    <row r="478" spans="1:26" s="18" customFormat="1" ht="14.25" customHeight="1">
      <c r="A478" s="926" t="s">
        <v>2148</v>
      </c>
      <c r="B478" s="832">
        <v>46121</v>
      </c>
      <c r="C478" s="573" t="s">
        <v>2147</v>
      </c>
      <c r="D478" s="60"/>
      <c r="E478" s="819"/>
      <c r="F478" s="248"/>
      <c r="G478" s="653" t="s">
        <v>2210</v>
      </c>
      <c r="H478" s="381" t="s">
        <v>2162</v>
      </c>
      <c r="I478" s="856" t="s">
        <v>2150</v>
      </c>
      <c r="J478" s="839"/>
      <c r="K478" s="248"/>
      <c r="L478" s="199"/>
      <c r="M478" s="822" t="s">
        <v>73</v>
      </c>
      <c r="N478" s="829"/>
      <c r="O478" s="819"/>
      <c r="P478" s="819"/>
      <c r="Q478" s="823"/>
      <c r="R478" s="818"/>
      <c r="S478" s="817"/>
      <c r="T478" s="817"/>
      <c r="U478" s="817"/>
      <c r="V478" s="248"/>
      <c r="W478" s="818"/>
      <c r="X478" s="819"/>
      <c r="Y478" s="817"/>
      <c r="Z478" s="833" t="s">
        <v>2149</v>
      </c>
    </row>
    <row r="479" spans="1:26" s="18" customFormat="1" ht="14.25" customHeight="1">
      <c r="A479" s="276" t="s">
        <v>2155</v>
      </c>
      <c r="B479" s="88">
        <v>46122</v>
      </c>
      <c r="C479" s="477">
        <v>11857197</v>
      </c>
      <c r="D479" s="480" t="s">
        <v>966</v>
      </c>
      <c r="E479" s="480" t="s">
        <v>45</v>
      </c>
      <c r="F479" s="473">
        <v>46125</v>
      </c>
      <c r="G479" s="88"/>
      <c r="H479" s="791" t="s">
        <v>2154</v>
      </c>
      <c r="I479" s="96"/>
      <c r="J479" s="96"/>
      <c r="K479" s="246"/>
      <c r="L479" s="201"/>
      <c r="M479" s="22" t="s">
        <v>73</v>
      </c>
      <c r="N479" s="22">
        <v>5888879</v>
      </c>
      <c r="O479" s="62" t="s">
        <v>2086</v>
      </c>
      <c r="P479" s="62"/>
      <c r="Q479" s="270" t="s">
        <v>1790</v>
      </c>
      <c r="R479" s="88"/>
      <c r="S479" s="22">
        <v>0.5</v>
      </c>
      <c r="T479" s="22">
        <v>1125.44</v>
      </c>
      <c r="U479" s="121">
        <v>1</v>
      </c>
      <c r="V479" s="246"/>
      <c r="W479" s="88"/>
      <c r="X479" s="62"/>
      <c r="Y479" s="22" t="s">
        <v>2168</v>
      </c>
      <c r="Z479" s="62" t="s">
        <v>2156</v>
      </c>
    </row>
    <row r="480" spans="1:26" s="18" customFormat="1" ht="14.25" customHeight="1">
      <c r="A480" s="926" t="s">
        <v>2148</v>
      </c>
      <c r="B480" s="818">
        <v>46125</v>
      </c>
      <c r="C480" s="573" t="s">
        <v>2158</v>
      </c>
      <c r="D480" s="60"/>
      <c r="E480" s="819"/>
      <c r="F480" s="248"/>
      <c r="G480" s="653" t="s">
        <v>2210</v>
      </c>
      <c r="H480" s="381" t="s">
        <v>2161</v>
      </c>
      <c r="I480" s="873" t="s">
        <v>2159</v>
      </c>
      <c r="J480" s="839"/>
      <c r="K480" s="248"/>
      <c r="L480" s="199"/>
      <c r="M480" s="822" t="s">
        <v>73</v>
      </c>
      <c r="N480" s="829"/>
      <c r="O480" s="819"/>
      <c r="P480" s="819"/>
      <c r="Q480" s="823"/>
      <c r="R480" s="818"/>
      <c r="S480" s="817"/>
      <c r="T480" s="817"/>
      <c r="U480" s="817"/>
      <c r="V480" s="248"/>
      <c r="W480" s="818"/>
      <c r="X480" s="819"/>
      <c r="Y480" s="817"/>
      <c r="Z480" s="872" t="s">
        <v>2149</v>
      </c>
    </row>
    <row r="481" spans="1:28" s="18" customFormat="1" ht="14.25" customHeight="1">
      <c r="A481" s="830" t="s">
        <v>443</v>
      </c>
      <c r="B481" s="818">
        <v>46125</v>
      </c>
      <c r="C481" s="893" t="s">
        <v>2163</v>
      </c>
      <c r="D481" s="892" t="s">
        <v>454</v>
      </c>
      <c r="E481" s="721" t="s">
        <v>45</v>
      </c>
      <c r="F481" s="437">
        <v>46126</v>
      </c>
      <c r="G481" s="199"/>
      <c r="H481" s="381"/>
      <c r="I481" s="821"/>
      <c r="J481" s="839"/>
      <c r="K481" s="248"/>
      <c r="L481" s="168" t="s">
        <v>2165</v>
      </c>
      <c r="M481" s="822" t="s">
        <v>73</v>
      </c>
      <c r="N481" s="829"/>
      <c r="O481" s="819"/>
      <c r="P481" s="819"/>
      <c r="Q481" s="823"/>
      <c r="R481" s="818"/>
      <c r="S481" s="817"/>
      <c r="T481" s="817"/>
      <c r="U481" s="817"/>
      <c r="V481" s="248"/>
      <c r="W481" s="818"/>
      <c r="X481" s="819"/>
      <c r="Y481" s="817"/>
      <c r="Z481" s="819" t="s">
        <v>279</v>
      </c>
    </row>
    <row r="482" spans="1:28" s="468" customFormat="1" ht="55.2">
      <c r="A482" s="472" t="s">
        <v>443</v>
      </c>
      <c r="B482" s="437">
        <v>46125</v>
      </c>
      <c r="C482" s="896" t="s">
        <v>2164</v>
      </c>
      <c r="D482" s="721" t="s">
        <v>454</v>
      </c>
      <c r="E482" s="721" t="s">
        <v>45</v>
      </c>
      <c r="F482" s="437">
        <v>46128</v>
      </c>
      <c r="G482" s="441"/>
      <c r="H482" s="545"/>
      <c r="I482" s="444"/>
      <c r="J482" s="444"/>
      <c r="K482" s="436"/>
      <c r="L482" s="464" t="s">
        <v>2166</v>
      </c>
      <c r="M482" s="723" t="s">
        <v>73</v>
      </c>
      <c r="N482" s="721"/>
      <c r="O482" s="438" t="s">
        <v>2169</v>
      </c>
      <c r="P482" s="438"/>
      <c r="Q482" s="458"/>
      <c r="R482" s="437"/>
      <c r="S482" s="721"/>
      <c r="T482" s="721"/>
      <c r="U482" s="721"/>
      <c r="V482" s="436"/>
      <c r="W482" s="437"/>
      <c r="X482" s="438"/>
      <c r="Y482" s="721"/>
      <c r="Z482" s="438" t="s">
        <v>279</v>
      </c>
    </row>
    <row r="483" spans="1:28" s="18" customFormat="1" ht="14.25" customHeight="1">
      <c r="A483" s="830" t="s">
        <v>676</v>
      </c>
      <c r="B483" s="885">
        <v>46125</v>
      </c>
      <c r="C483" s="573">
        <v>11869219</v>
      </c>
      <c r="D483" s="60"/>
      <c r="E483" s="721" t="s">
        <v>45</v>
      </c>
      <c r="F483" s="437">
        <v>46127</v>
      </c>
      <c r="G483" s="199"/>
      <c r="H483" s="381"/>
      <c r="I483" s="821"/>
      <c r="J483" s="839"/>
      <c r="K483" s="248"/>
      <c r="L483" s="199"/>
      <c r="M483" s="822" t="s">
        <v>73</v>
      </c>
      <c r="N483" s="829"/>
      <c r="O483" s="888" t="s">
        <v>2170</v>
      </c>
      <c r="P483" s="888"/>
      <c r="Q483" s="887" t="s">
        <v>2001</v>
      </c>
      <c r="R483" s="890"/>
      <c r="S483" s="889">
        <v>0.5</v>
      </c>
      <c r="T483" s="889">
        <f>106.77*3</f>
        <v>320.31</v>
      </c>
      <c r="U483" s="112">
        <v>1</v>
      </c>
      <c r="V483" s="248"/>
      <c r="W483" s="891">
        <v>3</v>
      </c>
      <c r="X483" s="888">
        <v>106.77</v>
      </c>
      <c r="Y483" s="817" t="s">
        <v>2175</v>
      </c>
      <c r="Z483" s="886" t="s">
        <v>2167</v>
      </c>
    </row>
    <row r="484" spans="1:28" s="468" customFormat="1" ht="27.6">
      <c r="A484" s="830" t="s">
        <v>676</v>
      </c>
      <c r="B484" s="437">
        <v>46125</v>
      </c>
      <c r="C484" s="573">
        <v>11869222</v>
      </c>
      <c r="D484" s="443"/>
      <c r="E484" s="721" t="s">
        <v>45</v>
      </c>
      <c r="F484" s="437">
        <v>46127</v>
      </c>
      <c r="G484" s="441"/>
      <c r="H484" s="545"/>
      <c r="I484" s="444"/>
      <c r="J484" s="444"/>
      <c r="K484" s="436"/>
      <c r="L484" s="441"/>
      <c r="M484" s="723" t="s">
        <v>73</v>
      </c>
      <c r="N484" s="721"/>
      <c r="O484" s="438" t="s">
        <v>2171</v>
      </c>
      <c r="P484" s="438"/>
      <c r="Q484" s="458" t="s">
        <v>2001</v>
      </c>
      <c r="R484" s="437"/>
      <c r="S484" s="721">
        <v>0.5</v>
      </c>
      <c r="T484" s="721">
        <f>(13*132.74)+(4*5.84)</f>
        <v>1748.98</v>
      </c>
      <c r="U484" s="467">
        <v>1</v>
      </c>
      <c r="V484" s="436"/>
      <c r="W484" s="437" t="s">
        <v>2173</v>
      </c>
      <c r="X484" s="438" t="s">
        <v>2174</v>
      </c>
      <c r="Y484" s="721" t="s">
        <v>2172</v>
      </c>
      <c r="Z484" s="438" t="s">
        <v>2167</v>
      </c>
    </row>
    <row r="485" spans="1:28" s="895" customFormat="1" ht="51.75" customHeight="1">
      <c r="A485" s="909" t="s">
        <v>2178</v>
      </c>
      <c r="B485" s="201">
        <v>46129</v>
      </c>
      <c r="C485" s="474" t="s">
        <v>2180</v>
      </c>
      <c r="D485" s="22" t="s">
        <v>966</v>
      </c>
      <c r="E485" s="480" t="s">
        <v>45</v>
      </c>
      <c r="F485" s="473">
        <v>46129</v>
      </c>
      <c r="G485" s="201"/>
      <c r="H485" s="791"/>
      <c r="I485" s="906" t="s">
        <v>2179</v>
      </c>
      <c r="J485" s="239"/>
      <c r="K485" s="373"/>
      <c r="L485" s="201"/>
      <c r="M485" s="22" t="s">
        <v>73</v>
      </c>
      <c r="N485" s="62"/>
      <c r="O485" s="62" t="s">
        <v>2181</v>
      </c>
      <c r="P485" s="22"/>
      <c r="Q485" s="270" t="s">
        <v>1790</v>
      </c>
      <c r="R485" s="88"/>
      <c r="S485" s="22">
        <v>0.5</v>
      </c>
      <c r="T485" s="275">
        <v>159.97</v>
      </c>
      <c r="U485" s="121">
        <v>1</v>
      </c>
      <c r="V485" s="373"/>
      <c r="W485" s="201"/>
      <c r="X485" s="62"/>
      <c r="Y485" s="480" t="s">
        <v>2182</v>
      </c>
      <c r="Z485" s="477" t="s">
        <v>2176</v>
      </c>
      <c r="AA485" s="477" t="s">
        <v>2177</v>
      </c>
      <c r="AB485" s="438"/>
    </row>
    <row r="486" spans="1:28" s="18" customFormat="1" ht="55.2">
      <c r="A486" s="472" t="s">
        <v>184</v>
      </c>
      <c r="B486" s="818">
        <v>46132</v>
      </c>
      <c r="C486" s="573" t="s">
        <v>2183</v>
      </c>
      <c r="D486" s="904" t="s">
        <v>966</v>
      </c>
      <c r="E486" s="723" t="s">
        <v>45</v>
      </c>
      <c r="F486" s="437">
        <v>46133</v>
      </c>
      <c r="G486" s="199"/>
      <c r="H486" s="381" t="s">
        <v>2184</v>
      </c>
      <c r="I486" s="905">
        <v>4546930921</v>
      </c>
      <c r="J486" s="918">
        <v>4550048140</v>
      </c>
      <c r="K486" s="248"/>
      <c r="L486" s="199"/>
      <c r="M486" s="822" t="s">
        <v>73</v>
      </c>
      <c r="N486" s="829"/>
      <c r="O486" s="819" t="s">
        <v>2185</v>
      </c>
      <c r="P486" s="199">
        <v>46133</v>
      </c>
      <c r="Q486" s="823" t="s">
        <v>2001</v>
      </c>
      <c r="R486" s="818"/>
      <c r="S486" s="817">
        <v>0.5</v>
      </c>
      <c r="T486" s="907">
        <v>28.1</v>
      </c>
      <c r="U486" s="112">
        <v>1</v>
      </c>
      <c r="V486" s="248"/>
      <c r="W486" s="914" t="s">
        <v>2187</v>
      </c>
      <c r="X486" s="914" t="s">
        <v>2188</v>
      </c>
      <c r="Y486" s="817" t="s">
        <v>2186</v>
      </c>
      <c r="Z486" s="912" t="s">
        <v>122</v>
      </c>
    </row>
    <row r="487" spans="1:28" s="18" customFormat="1" ht="15" customHeight="1">
      <c r="A487" s="938" t="s">
        <v>1054</v>
      </c>
      <c r="B487" s="939">
        <v>46134</v>
      </c>
      <c r="C487" s="573" t="s">
        <v>2190</v>
      </c>
      <c r="D487" s="910"/>
      <c r="E487" s="723"/>
      <c r="F487" s="437"/>
      <c r="G487" s="939" t="s">
        <v>1083</v>
      </c>
      <c r="H487" s="940" t="s">
        <v>2191</v>
      </c>
      <c r="I487" s="913"/>
      <c r="J487" s="913"/>
      <c r="K487" s="248"/>
      <c r="L487" s="199"/>
      <c r="M487" s="920" t="s">
        <v>73</v>
      </c>
      <c r="N487" s="914"/>
      <c r="O487" s="912"/>
      <c r="P487" s="199"/>
      <c r="Q487" s="911"/>
      <c r="R487" s="915"/>
      <c r="S487" s="914"/>
      <c r="T487" s="914"/>
      <c r="U487" s="112"/>
      <c r="V487" s="248"/>
      <c r="W487" s="914"/>
      <c r="X487" s="914"/>
      <c r="Y487" s="914"/>
      <c r="Z487" s="917" t="s">
        <v>2189</v>
      </c>
    </row>
    <row r="488" spans="1:28" s="18" customFormat="1" ht="15" customHeight="1">
      <c r="A488" s="938"/>
      <c r="B488" s="939"/>
      <c r="C488" s="573" t="s">
        <v>2192</v>
      </c>
      <c r="D488" s="910"/>
      <c r="E488" s="723"/>
      <c r="F488" s="437"/>
      <c r="G488" s="939"/>
      <c r="H488" s="940"/>
      <c r="I488" s="913"/>
      <c r="J488" s="913"/>
      <c r="K488" s="248"/>
      <c r="L488" s="199"/>
      <c r="M488" s="920" t="s">
        <v>73</v>
      </c>
      <c r="N488" s="914"/>
      <c r="O488" s="912"/>
      <c r="P488" s="199"/>
      <c r="Q488" s="911"/>
      <c r="R488" s="915"/>
      <c r="S488" s="914"/>
      <c r="T488" s="914"/>
      <c r="U488" s="112"/>
      <c r="V488" s="248"/>
      <c r="W488" s="914"/>
      <c r="X488" s="914"/>
      <c r="Y488" s="914"/>
      <c r="Z488" s="912"/>
    </row>
    <row r="489" spans="1:28" s="18" customFormat="1" ht="15" customHeight="1">
      <c r="A489" s="938"/>
      <c r="B489" s="939"/>
      <c r="C489" s="573" t="s">
        <v>2193</v>
      </c>
      <c r="D489" s="910"/>
      <c r="E489" s="723"/>
      <c r="F489" s="437"/>
      <c r="G489" s="939"/>
      <c r="H489" s="940"/>
      <c r="I489" s="913"/>
      <c r="J489" s="913"/>
      <c r="K489" s="248"/>
      <c r="L489" s="199"/>
      <c r="M489" s="920" t="s">
        <v>73</v>
      </c>
      <c r="N489" s="914"/>
      <c r="O489" s="912"/>
      <c r="P489" s="199"/>
      <c r="Q489" s="911"/>
      <c r="R489" s="915"/>
      <c r="S489" s="914"/>
      <c r="T489" s="914"/>
      <c r="U489" s="112"/>
      <c r="V489" s="248"/>
      <c r="W489" s="914"/>
      <c r="X489" s="914"/>
      <c r="Y489" s="914"/>
      <c r="Z489" s="912"/>
    </row>
    <row r="490" spans="1:28" s="18" customFormat="1" ht="30.75" customHeight="1">
      <c r="A490" s="472" t="s">
        <v>2208</v>
      </c>
      <c r="B490" s="915">
        <v>46134</v>
      </c>
      <c r="C490" s="573" t="s">
        <v>2194</v>
      </c>
      <c r="D490" s="910"/>
      <c r="E490" s="721" t="s">
        <v>45</v>
      </c>
      <c r="F490" s="437">
        <v>46134</v>
      </c>
      <c r="G490" s="199"/>
      <c r="H490" s="381"/>
      <c r="I490" s="913"/>
      <c r="J490" s="913"/>
      <c r="K490" s="248"/>
      <c r="L490" s="199" t="s">
        <v>2196</v>
      </c>
      <c r="M490" s="920" t="s">
        <v>73</v>
      </c>
      <c r="N490" s="914"/>
      <c r="O490" s="438" t="s">
        <v>2197</v>
      </c>
      <c r="P490" s="923"/>
      <c r="Q490" s="458" t="s">
        <v>1327</v>
      </c>
      <c r="R490" s="915"/>
      <c r="S490" s="914"/>
      <c r="T490" s="914">
        <v>7.97</v>
      </c>
      <c r="U490" s="112"/>
      <c r="V490" s="248"/>
      <c r="W490" s="914">
        <v>1</v>
      </c>
      <c r="X490" s="914"/>
      <c r="Y490" s="914" t="s">
        <v>2198</v>
      </c>
      <c r="Z490" s="919" t="s">
        <v>2195</v>
      </c>
    </row>
    <row r="491" spans="1:28" s="18" customFormat="1" ht="27.6">
      <c r="A491" s="472" t="s">
        <v>2199</v>
      </c>
      <c r="B491" s="922">
        <v>46134</v>
      </c>
      <c r="C491" s="573" t="s">
        <v>2206</v>
      </c>
      <c r="D491" s="761" t="s">
        <v>2201</v>
      </c>
      <c r="E491" s="721" t="s">
        <v>45</v>
      </c>
      <c r="F491" s="437">
        <v>46136</v>
      </c>
      <c r="G491" s="381" t="s">
        <v>2205</v>
      </c>
      <c r="H491" s="381" t="s">
        <v>2207</v>
      </c>
      <c r="I491" s="913"/>
      <c r="J491" s="913"/>
      <c r="K491" s="248"/>
      <c r="L491" s="199"/>
      <c r="M491" s="920" t="s">
        <v>73</v>
      </c>
      <c r="N491" s="914"/>
      <c r="O491" s="912"/>
      <c r="P491" s="199"/>
      <c r="Q491" s="911" t="s">
        <v>1790</v>
      </c>
      <c r="R491" s="915"/>
      <c r="S491" s="914">
        <v>0.5</v>
      </c>
      <c r="T491" s="914">
        <v>1214.4899999999998</v>
      </c>
      <c r="U491" s="112">
        <v>1</v>
      </c>
      <c r="V491" s="248"/>
      <c r="W491" s="914"/>
      <c r="X491" s="914"/>
      <c r="Y491" s="914" t="s">
        <v>2212</v>
      </c>
      <c r="Z491" s="921" t="s">
        <v>2200</v>
      </c>
    </row>
    <row r="492" spans="1:28" s="468" customFormat="1" ht="14.25" customHeight="1">
      <c r="A492" s="478" t="s">
        <v>2148</v>
      </c>
      <c r="B492" s="473">
        <v>46135</v>
      </c>
      <c r="C492" s="554" t="s">
        <v>2218</v>
      </c>
      <c r="D492" s="474"/>
      <c r="E492" s="480" t="s">
        <v>45</v>
      </c>
      <c r="F492" s="473">
        <v>46139</v>
      </c>
      <c r="G492" s="476"/>
      <c r="H492" s="554" t="s">
        <v>2209</v>
      </c>
      <c r="I492" s="484"/>
      <c r="J492" s="484"/>
      <c r="K492" s="480">
        <v>51962492</v>
      </c>
      <c r="L492" s="476"/>
      <c r="M492" s="480" t="s">
        <v>73</v>
      </c>
      <c r="N492" s="480"/>
      <c r="O492" s="477" t="s">
        <v>2214</v>
      </c>
      <c r="P492" s="477"/>
      <c r="Q492" s="481" t="s">
        <v>2213</v>
      </c>
      <c r="R492" s="473"/>
      <c r="S492" s="480">
        <v>0.5</v>
      </c>
      <c r="T492" s="480">
        <v>362.14</v>
      </c>
      <c r="U492" s="482">
        <v>1</v>
      </c>
      <c r="V492" s="478"/>
      <c r="W492" s="473"/>
      <c r="X492" s="477"/>
      <c r="Y492" s="480" t="s">
        <v>2215</v>
      </c>
      <c r="Z492" s="477" t="s">
        <v>2149</v>
      </c>
    </row>
    <row r="493" spans="1:28" s="18" customFormat="1" ht="14.25" customHeight="1">
      <c r="A493" s="248" t="s">
        <v>2143</v>
      </c>
      <c r="B493" s="932">
        <v>46139</v>
      </c>
      <c r="C493" s="933" t="s">
        <v>2217</v>
      </c>
      <c r="D493" s="760"/>
      <c r="E493" s="442"/>
      <c r="F493" s="248"/>
      <c r="G493" s="199"/>
      <c r="H493" s="381"/>
      <c r="I493" s="930"/>
      <c r="J493" s="930"/>
      <c r="L493" s="199"/>
      <c r="M493" s="934" t="s">
        <v>73</v>
      </c>
      <c r="N493" s="931"/>
      <c r="O493" s="929"/>
      <c r="P493" s="929"/>
      <c r="Q493" s="935"/>
      <c r="R493" s="932"/>
      <c r="S493" s="931"/>
      <c r="T493" s="931"/>
      <c r="U493" s="931"/>
      <c r="V493" s="248"/>
      <c r="W493" s="932"/>
      <c r="X493" s="929"/>
      <c r="Y493" s="931"/>
      <c r="Z493" s="937" t="s">
        <v>2216</v>
      </c>
    </row>
    <row r="494" spans="1:28" s="18" customFormat="1" ht="14.25" customHeight="1">
      <c r="A494" s="248"/>
      <c r="B494" s="932"/>
      <c r="C494" s="933"/>
      <c r="D494" s="760"/>
      <c r="E494" s="442"/>
      <c r="F494" s="248"/>
      <c r="G494" s="199"/>
      <c r="H494" s="381"/>
      <c r="I494" s="930"/>
      <c r="J494" s="930"/>
      <c r="K494" s="248"/>
      <c r="L494" s="199"/>
      <c r="M494" s="934" t="s">
        <v>73</v>
      </c>
      <c r="N494" s="931"/>
      <c r="O494" s="929"/>
      <c r="P494" s="929"/>
      <c r="Q494" s="935"/>
      <c r="R494" s="932"/>
      <c r="S494" s="931"/>
      <c r="T494" s="931"/>
      <c r="U494" s="931"/>
      <c r="V494" s="248"/>
      <c r="W494" s="932"/>
      <c r="X494" s="929"/>
      <c r="Y494" s="931"/>
      <c r="Z494" s="929"/>
    </row>
    <row r="495" spans="1:28" s="18" customFormat="1" ht="14.25" customHeight="1">
      <c r="A495" s="248"/>
      <c r="B495" s="932"/>
      <c r="C495" s="933"/>
      <c r="D495" s="760"/>
      <c r="E495" s="442"/>
      <c r="F495" s="248"/>
      <c r="G495" s="199"/>
      <c r="H495" s="381"/>
      <c r="I495" s="930"/>
      <c r="J495" s="930"/>
      <c r="K495" s="248"/>
      <c r="L495" s="199"/>
      <c r="M495" s="934" t="s">
        <v>73</v>
      </c>
      <c r="N495" s="931"/>
      <c r="O495" s="929"/>
      <c r="P495" s="929"/>
      <c r="Q495" s="935"/>
      <c r="R495" s="932"/>
      <c r="S495" s="931"/>
      <c r="T495" s="931"/>
      <c r="U495" s="931"/>
      <c r="V495" s="248"/>
      <c r="W495" s="932"/>
      <c r="X495" s="929"/>
      <c r="Y495" s="931"/>
      <c r="Z495" s="929"/>
    </row>
    <row r="496" spans="1:28" s="18" customFormat="1" ht="14.25" customHeight="1">
      <c r="A496" s="248"/>
      <c r="B496" s="932"/>
      <c r="C496" s="933"/>
      <c r="D496" s="760"/>
      <c r="E496" s="442"/>
      <c r="F496" s="248"/>
      <c r="G496" s="199"/>
      <c r="H496" s="381"/>
      <c r="I496" s="930"/>
      <c r="J496" s="930"/>
      <c r="K496" s="248"/>
      <c r="L496" s="199"/>
      <c r="M496" s="934" t="s">
        <v>73</v>
      </c>
      <c r="N496" s="931"/>
      <c r="O496" s="929"/>
      <c r="P496" s="929"/>
      <c r="Q496" s="935"/>
      <c r="R496" s="932"/>
      <c r="S496" s="931"/>
      <c r="T496" s="931"/>
      <c r="U496" s="931"/>
      <c r="V496" s="248"/>
      <c r="W496" s="932"/>
      <c r="X496" s="929"/>
      <c r="Y496" s="931"/>
      <c r="Z496" s="929"/>
    </row>
    <row r="497" spans="1:26" s="18" customFormat="1" ht="14.25" customHeight="1">
      <c r="A497" s="248"/>
      <c r="B497" s="932"/>
      <c r="C497" s="933"/>
      <c r="D497" s="760"/>
      <c r="E497" s="442"/>
      <c r="F497" s="248"/>
      <c r="G497" s="199"/>
      <c r="H497" s="381"/>
      <c r="I497" s="930"/>
      <c r="J497" s="930"/>
      <c r="K497" s="248"/>
      <c r="L497" s="199"/>
      <c r="M497" s="934" t="s">
        <v>73</v>
      </c>
      <c r="N497" s="931"/>
      <c r="O497" s="929"/>
      <c r="P497" s="929"/>
      <c r="Q497" s="935"/>
      <c r="R497" s="932"/>
      <c r="S497" s="931"/>
      <c r="T497" s="931"/>
      <c r="U497" s="931"/>
      <c r="V497" s="248"/>
      <c r="W497" s="932"/>
      <c r="X497" s="929"/>
      <c r="Y497" s="931"/>
      <c r="Z497" s="929"/>
    </row>
    <row r="498" spans="1:26" s="18" customFormat="1" ht="14.25" customHeight="1">
      <c r="A498" s="248"/>
      <c r="B498" s="932"/>
      <c r="C498" s="933"/>
      <c r="D498" s="760"/>
      <c r="E498" s="442"/>
      <c r="F498" s="248"/>
      <c r="G498" s="199"/>
      <c r="H498" s="381"/>
      <c r="I498" s="930"/>
      <c r="J498" s="930"/>
      <c r="K498" s="248"/>
      <c r="L498" s="199"/>
      <c r="M498" s="934" t="s">
        <v>73</v>
      </c>
      <c r="N498" s="931"/>
      <c r="O498" s="929"/>
      <c r="P498" s="929"/>
      <c r="Q498" s="935"/>
      <c r="R498" s="932"/>
      <c r="S498" s="931"/>
      <c r="T498" s="931"/>
      <c r="U498" s="931"/>
      <c r="V498" s="248"/>
      <c r="W498" s="932"/>
      <c r="X498" s="929"/>
      <c r="Y498" s="931"/>
      <c r="Z498" s="929"/>
    </row>
    <row r="499" spans="1:26" s="18" customFormat="1" ht="14.25" customHeight="1">
      <c r="A499" s="248"/>
      <c r="B499" s="932"/>
      <c r="C499" s="933"/>
      <c r="D499" s="760"/>
      <c r="E499" s="442"/>
      <c r="F499" s="248"/>
      <c r="G499" s="199"/>
      <c r="H499" s="381"/>
      <c r="I499" s="930"/>
      <c r="J499" s="930"/>
      <c r="K499" s="248"/>
      <c r="L499" s="199"/>
      <c r="M499" s="934" t="s">
        <v>73</v>
      </c>
      <c r="N499" s="931"/>
      <c r="O499" s="929"/>
      <c r="P499" s="929"/>
      <c r="Q499" s="935"/>
      <c r="R499" s="932"/>
      <c r="S499" s="931"/>
      <c r="T499" s="931"/>
      <c r="U499" s="931"/>
      <c r="V499" s="248"/>
      <c r="W499" s="932"/>
      <c r="X499" s="929"/>
      <c r="Y499" s="931"/>
      <c r="Z499" s="929"/>
    </row>
    <row r="500" spans="1:26" s="18" customFormat="1" ht="14.25" customHeight="1">
      <c r="A500" s="248"/>
      <c r="B500" s="932"/>
      <c r="C500" s="933"/>
      <c r="D500" s="760"/>
      <c r="E500" s="442"/>
      <c r="F500" s="248"/>
      <c r="G500" s="199"/>
      <c r="H500" s="381"/>
      <c r="I500" s="930"/>
      <c r="J500" s="930"/>
      <c r="K500" s="248"/>
      <c r="L500" s="199"/>
      <c r="M500" s="934" t="s">
        <v>73</v>
      </c>
      <c r="N500" s="931"/>
      <c r="O500" s="929"/>
      <c r="P500" s="929"/>
      <c r="Q500" s="935"/>
      <c r="R500" s="932"/>
      <c r="S500" s="931"/>
      <c r="T500" s="931"/>
      <c r="U500" s="931"/>
      <c r="V500" s="248"/>
      <c r="W500" s="932"/>
      <c r="X500" s="929"/>
      <c r="Y500" s="931"/>
      <c r="Z500" s="929"/>
    </row>
    <row r="501" spans="1:26" s="18" customFormat="1" ht="14.25" customHeight="1">
      <c r="A501" s="248"/>
      <c r="B501" s="932"/>
      <c r="C501" s="933"/>
      <c r="D501" s="760"/>
      <c r="E501" s="442"/>
      <c r="F501" s="248"/>
      <c r="G501" s="199"/>
      <c r="H501" s="381"/>
      <c r="I501" s="930"/>
      <c r="J501" s="930"/>
      <c r="K501" s="248"/>
      <c r="L501" s="199"/>
      <c r="M501" s="934" t="s">
        <v>73</v>
      </c>
      <c r="N501" s="931"/>
      <c r="O501" s="929"/>
      <c r="P501" s="929"/>
      <c r="Q501" s="935"/>
      <c r="R501" s="932"/>
      <c r="S501" s="931"/>
      <c r="T501" s="931"/>
      <c r="U501" s="931"/>
      <c r="V501" s="248"/>
      <c r="W501" s="932"/>
      <c r="X501" s="929"/>
      <c r="Y501" s="931"/>
      <c r="Z501" s="929"/>
    </row>
    <row r="502" spans="1:26" s="18" customFormat="1" ht="14.25" customHeight="1">
      <c r="A502" s="248"/>
      <c r="B502" s="932"/>
      <c r="C502" s="933"/>
      <c r="D502" s="760"/>
      <c r="E502" s="442"/>
      <c r="F502" s="248"/>
      <c r="G502" s="199"/>
      <c r="H502" s="381"/>
      <c r="I502" s="930"/>
      <c r="J502" s="930"/>
      <c r="K502" s="248"/>
      <c r="L502" s="199"/>
      <c r="M502" s="934" t="s">
        <v>73</v>
      </c>
      <c r="N502" s="931"/>
      <c r="O502" s="929"/>
      <c r="P502" s="929"/>
      <c r="Q502" s="935"/>
      <c r="R502" s="932"/>
      <c r="S502" s="931"/>
      <c r="T502" s="931"/>
      <c r="U502" s="931"/>
      <c r="V502" s="248"/>
      <c r="W502" s="932"/>
      <c r="X502" s="929"/>
      <c r="Y502" s="931"/>
      <c r="Z502" s="929"/>
    </row>
    <row r="503" spans="1:26" s="18" customFormat="1" ht="14.25" customHeight="1">
      <c r="A503" s="248"/>
      <c r="B503" s="932"/>
      <c r="C503" s="933"/>
      <c r="D503" s="760"/>
      <c r="E503" s="442"/>
      <c r="F503" s="248"/>
      <c r="G503" s="199"/>
      <c r="H503" s="381"/>
      <c r="I503" s="930"/>
      <c r="J503" s="930"/>
      <c r="K503" s="248"/>
      <c r="L503" s="199"/>
      <c r="M503" s="934" t="s">
        <v>73</v>
      </c>
      <c r="N503" s="931"/>
      <c r="O503" s="929"/>
      <c r="P503" s="929"/>
      <c r="Q503" s="935"/>
      <c r="R503" s="932"/>
      <c r="S503" s="931"/>
      <c r="T503" s="931"/>
      <c r="U503" s="931"/>
      <c r="V503" s="248"/>
      <c r="W503" s="932"/>
      <c r="X503" s="929"/>
      <c r="Y503" s="931"/>
      <c r="Z503" s="929"/>
    </row>
    <row r="504" spans="1:26" s="18" customFormat="1" ht="14.25" customHeight="1">
      <c r="A504" s="248"/>
      <c r="B504" s="932"/>
      <c r="C504" s="933"/>
      <c r="D504" s="760"/>
      <c r="E504" s="442"/>
      <c r="F504" s="248"/>
      <c r="G504" s="199"/>
      <c r="H504" s="381"/>
      <c r="I504" s="930"/>
      <c r="J504" s="930"/>
      <c r="K504" s="248"/>
      <c r="L504" s="199"/>
      <c r="M504" s="934" t="s">
        <v>73</v>
      </c>
      <c r="N504" s="931"/>
      <c r="O504" s="929"/>
      <c r="P504" s="929"/>
      <c r="Q504" s="935"/>
      <c r="R504" s="932"/>
      <c r="S504" s="931"/>
      <c r="T504" s="931"/>
      <c r="U504" s="931"/>
      <c r="V504" s="248"/>
      <c r="W504" s="932"/>
      <c r="X504" s="929"/>
      <c r="Y504" s="931"/>
      <c r="Z504" s="929"/>
    </row>
    <row r="505" spans="1:26" s="18" customFormat="1" ht="14.25" customHeight="1">
      <c r="A505" s="248"/>
      <c r="B505" s="784"/>
      <c r="C505" s="573"/>
      <c r="D505" s="60"/>
      <c r="E505" s="785"/>
      <c r="F505" s="248"/>
      <c r="G505" s="199"/>
      <c r="H505" s="381"/>
      <c r="I505" s="786"/>
      <c r="J505" s="839"/>
      <c r="K505" s="248"/>
      <c r="L505" s="199"/>
      <c r="M505" s="934" t="s">
        <v>73</v>
      </c>
      <c r="N505" s="829"/>
      <c r="O505" s="785"/>
      <c r="P505" s="785"/>
      <c r="Q505" s="260"/>
      <c r="R505" s="784"/>
      <c r="S505" s="783"/>
      <c r="T505" s="783"/>
      <c r="U505" s="783"/>
      <c r="V505" s="248"/>
      <c r="W505" s="784"/>
      <c r="X505" s="785"/>
      <c r="Y505" s="783"/>
      <c r="Z505" s="785"/>
    </row>
    <row r="506" spans="1:26" s="11" customFormat="1" ht="14.7" customHeight="1">
      <c r="A506" s="204"/>
      <c r="B506" s="7"/>
      <c r="C506" s="558"/>
      <c r="D506" s="60"/>
      <c r="E506" s="558"/>
      <c r="F506" s="204"/>
      <c r="G506" s="199"/>
      <c r="H506" s="558"/>
      <c r="I506" s="58"/>
      <c r="J506" s="57"/>
      <c r="K506" s="248"/>
      <c r="L506" s="199"/>
      <c r="M506" s="450" t="s">
        <v>73</v>
      </c>
      <c r="N506" s="829"/>
      <c r="O506" s="558"/>
      <c r="P506" s="558"/>
      <c r="Q506" s="260"/>
      <c r="R506" s="560"/>
      <c r="S506" s="559"/>
      <c r="T506" s="559"/>
      <c r="U506" s="559"/>
      <c r="V506" s="204"/>
      <c r="W506" s="560"/>
      <c r="X506" s="558"/>
      <c r="Y506" s="559"/>
      <c r="Z506" s="679"/>
    </row>
    <row r="507" spans="1:26" s="11" customFormat="1" ht="14.7" customHeight="1">
      <c r="A507" s="204"/>
      <c r="B507" s="7"/>
      <c r="C507" s="558"/>
      <c r="D507" s="60"/>
      <c r="E507" s="558"/>
      <c r="F507" s="204"/>
      <c r="G507" s="199"/>
      <c r="H507" s="558"/>
      <c r="I507" s="58"/>
      <c r="J507" s="57"/>
      <c r="K507" s="248"/>
      <c r="L507" s="199"/>
      <c r="M507" s="450" t="s">
        <v>73</v>
      </c>
      <c r="N507" s="829"/>
      <c r="O507" s="558"/>
      <c r="P507" s="908"/>
      <c r="Q507" s="260"/>
      <c r="R507" s="560"/>
      <c r="S507" s="559"/>
      <c r="T507" s="559"/>
      <c r="U507" s="559"/>
      <c r="V507" s="204"/>
      <c r="W507" s="560"/>
      <c r="X507" s="558"/>
      <c r="Y507" s="559"/>
      <c r="Z507" s="679"/>
    </row>
    <row r="508" spans="1:26" s="11" customFormat="1" ht="14.7" customHeight="1">
      <c r="B508" s="581"/>
      <c r="C508" s="18"/>
      <c r="D508" s="58"/>
      <c r="E508" s="7"/>
      <c r="F508" s="64"/>
      <c r="G508" s="57"/>
      <c r="H508" s="6"/>
      <c r="I508" s="57"/>
      <c r="J508" s="57"/>
      <c r="K508" s="18"/>
      <c r="L508" s="95"/>
      <c r="M508" s="450" t="s">
        <v>73</v>
      </c>
      <c r="N508" s="829"/>
      <c r="O508" s="16"/>
      <c r="P508" s="908"/>
      <c r="Q508" s="16"/>
      <c r="R508" s="16"/>
      <c r="S508" s="16"/>
      <c r="T508" s="16"/>
      <c r="U508" s="16"/>
      <c r="W508" s="7"/>
      <c r="X508" s="7"/>
      <c r="Y508" s="16"/>
      <c r="Z508" s="679"/>
    </row>
    <row r="509" spans="1:26">
      <c r="A509" s="1" t="s">
        <v>322</v>
      </c>
      <c r="D509" s="116"/>
      <c r="M509" s="450" t="s">
        <v>73</v>
      </c>
      <c r="N509" s="5"/>
      <c r="O509" s="5"/>
      <c r="P509" s="908"/>
      <c r="Q509" s="5"/>
      <c r="R509" s="5"/>
      <c r="S509" s="5"/>
      <c r="T509" s="5"/>
      <c r="U509" s="5"/>
      <c r="X509" s="2"/>
    </row>
    <row r="510" spans="1:26" ht="15.6">
      <c r="A510" s="1" t="s">
        <v>323</v>
      </c>
      <c r="D510" s="116"/>
      <c r="K510" s="161"/>
      <c r="L510" s="2"/>
      <c r="M510" s="450" t="s">
        <v>73</v>
      </c>
      <c r="N510" s="5"/>
      <c r="O510" s="5"/>
      <c r="P510" s="5"/>
      <c r="Q510" s="5"/>
      <c r="R510" s="5"/>
      <c r="S510" s="5"/>
      <c r="T510" s="5"/>
      <c r="U510" s="5"/>
      <c r="X510" s="2"/>
    </row>
    <row r="511" spans="1:26" ht="14.4" thickBot="1">
      <c r="D511" s="116"/>
      <c r="E511" s="1"/>
      <c r="G511" s="117"/>
      <c r="H511" s="2"/>
      <c r="L511" s="2"/>
      <c r="M511" s="450" t="s">
        <v>73</v>
      </c>
      <c r="N511" s="5"/>
      <c r="O511" s="5"/>
      <c r="P511" s="5"/>
      <c r="Q511" s="5"/>
      <c r="R511" s="5"/>
      <c r="S511" s="5"/>
      <c r="T511" s="5"/>
      <c r="U511" s="5"/>
      <c r="V511" s="2"/>
      <c r="X511" s="2"/>
    </row>
    <row r="512" spans="1:26">
      <c r="A512" s="38" t="s">
        <v>767</v>
      </c>
      <c r="B512" s="319"/>
      <c r="C512" s="516"/>
      <c r="D512" s="266" t="s">
        <v>742</v>
      </c>
      <c r="E512" s="1"/>
      <c r="G512" s="117"/>
      <c r="H512" s="188" t="s">
        <v>979</v>
      </c>
      <c r="K512" s="5"/>
      <c r="L512" s="2"/>
      <c r="M512" s="450" t="s">
        <v>73</v>
      </c>
      <c r="N512" s="5"/>
      <c r="O512" s="5"/>
      <c r="P512" s="5"/>
      <c r="Q512" s="5"/>
      <c r="R512" s="5"/>
      <c r="S512" s="5"/>
      <c r="T512" s="5"/>
      <c r="U512" s="5"/>
      <c r="V512" s="2"/>
      <c r="X512" s="2"/>
    </row>
    <row r="513" spans="1:24">
      <c r="A513" s="35"/>
      <c r="B513" s="320"/>
      <c r="C513" s="517"/>
      <c r="D513" s="267">
        <v>45740</v>
      </c>
      <c r="E513" s="1"/>
      <c r="G513" s="117"/>
      <c r="H513" s="189" t="s">
        <v>972</v>
      </c>
      <c r="K513" s="5"/>
      <c r="L513" s="2"/>
      <c r="M513" s="450" t="s">
        <v>73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"/>
    </row>
    <row r="514" spans="1:24">
      <c r="A514" s="35"/>
      <c r="B514" s="320"/>
      <c r="C514" s="517"/>
      <c r="D514" s="37" t="s">
        <v>741</v>
      </c>
      <c r="E514" s="1"/>
      <c r="G514" s="117"/>
      <c r="H514" s="189" t="s">
        <v>973</v>
      </c>
      <c r="K514" s="5"/>
      <c r="L514" s="2"/>
      <c r="M514" s="4"/>
      <c r="N514" s="5"/>
      <c r="O514" s="5"/>
      <c r="P514" s="5"/>
      <c r="Q514" s="5"/>
      <c r="R514" s="5"/>
      <c r="S514" s="5"/>
      <c r="T514" s="5"/>
      <c r="U514" s="5"/>
      <c r="V514" s="2"/>
      <c r="X514" s="2"/>
    </row>
    <row r="515" spans="1:24">
      <c r="A515" s="35"/>
      <c r="B515" s="320"/>
      <c r="C515" s="517"/>
      <c r="D515" s="37" t="s">
        <v>740</v>
      </c>
      <c r="E515" s="1"/>
      <c r="G515" s="117"/>
      <c r="H515" s="190"/>
      <c r="K515" s="5"/>
      <c r="L515" s="2"/>
      <c r="M515" s="4"/>
      <c r="N515" s="5"/>
      <c r="O515" s="5"/>
      <c r="P515" s="5"/>
      <c r="Q515" s="5"/>
      <c r="R515" s="5"/>
      <c r="S515" s="5"/>
      <c r="T515" s="5"/>
      <c r="V515" s="2"/>
      <c r="X515" s="2"/>
    </row>
    <row r="516" spans="1:24" ht="28.2" thickBot="1">
      <c r="A516" s="36"/>
      <c r="B516" s="321" t="s">
        <v>768</v>
      </c>
      <c r="C516" s="518" t="s">
        <v>769</v>
      </c>
      <c r="D516" s="39" t="s">
        <v>739</v>
      </c>
      <c r="E516" s="1"/>
      <c r="G516" s="117"/>
      <c r="H516" s="191"/>
      <c r="K516" s="5"/>
      <c r="L516" s="2"/>
      <c r="M516" s="4"/>
      <c r="N516" s="5"/>
      <c r="O516" s="5"/>
      <c r="P516" s="5"/>
      <c r="Q516" s="5"/>
      <c r="R516" s="5"/>
      <c r="S516" s="5"/>
      <c r="T516" s="5"/>
      <c r="V516" s="2"/>
      <c r="X516" s="2"/>
    </row>
    <row r="517" spans="1:24">
      <c r="A517" s="25" t="s">
        <v>324</v>
      </c>
      <c r="B517" s="319">
        <v>34</v>
      </c>
      <c r="C517" s="519">
        <v>64</v>
      </c>
      <c r="D517" s="266">
        <v>75</v>
      </c>
      <c r="E517" s="1"/>
      <c r="G517" s="117"/>
      <c r="H517" s="195" t="s">
        <v>1670</v>
      </c>
      <c r="K517" s="5"/>
      <c r="L517" s="2"/>
      <c r="M517" s="4"/>
      <c r="N517" s="5"/>
      <c r="O517" s="5"/>
      <c r="P517" s="5"/>
      <c r="Q517" s="5"/>
      <c r="R517" s="5"/>
      <c r="S517" s="5"/>
      <c r="T517" s="5"/>
      <c r="V517" s="2"/>
      <c r="X517" s="2"/>
    </row>
    <row r="518" spans="1:24">
      <c r="A518" s="25" t="s">
        <v>325</v>
      </c>
      <c r="B518" s="320">
        <v>3.3</v>
      </c>
      <c r="C518" s="520">
        <v>3.3</v>
      </c>
      <c r="D518" s="37">
        <v>3.3</v>
      </c>
      <c r="E518" s="1"/>
      <c r="G518" s="117"/>
      <c r="H518" s="192"/>
      <c r="K518" s="5"/>
      <c r="L518" s="2"/>
      <c r="M518" s="4"/>
      <c r="N518" s="5"/>
      <c r="O518" s="5"/>
      <c r="P518" s="5"/>
      <c r="Q518" s="5"/>
      <c r="R518" s="5"/>
      <c r="S518" s="5"/>
      <c r="T518" s="5"/>
      <c r="V518" s="2"/>
      <c r="X518" s="2"/>
    </row>
    <row r="519" spans="1:24">
      <c r="A519" s="25" t="s">
        <v>579</v>
      </c>
      <c r="B519" s="320">
        <v>11</v>
      </c>
      <c r="C519" s="520">
        <v>11</v>
      </c>
      <c r="D519" s="37">
        <v>11</v>
      </c>
      <c r="E519" s="1"/>
      <c r="G519" s="117"/>
      <c r="H519" s="192"/>
      <c r="K519" s="5"/>
      <c r="L519" s="2"/>
      <c r="M519" s="4"/>
      <c r="N519" s="5"/>
      <c r="O519" s="5"/>
      <c r="P519" s="5"/>
      <c r="Q519" s="5"/>
      <c r="R519" s="5"/>
      <c r="S519" s="5"/>
      <c r="T519" s="5"/>
      <c r="V519" s="2"/>
      <c r="X519" s="2"/>
    </row>
    <row r="520" spans="1:24" ht="14.4" thickBot="1">
      <c r="A520" s="25"/>
      <c r="B520" s="322">
        <f>SUM(B517:B519)</f>
        <v>48.3</v>
      </c>
      <c r="C520" s="543">
        <f>SUM(C517:C519)</f>
        <v>78.3</v>
      </c>
      <c r="D520" s="37">
        <v>89.3</v>
      </c>
      <c r="E520" s="1"/>
      <c r="G520" s="117"/>
      <c r="H520" s="193"/>
      <c r="K520" s="5"/>
      <c r="L520" s="2"/>
      <c r="M520" s="4"/>
      <c r="N520" s="5"/>
      <c r="O520" s="5"/>
      <c r="P520" s="5"/>
      <c r="Q520" s="5"/>
      <c r="R520" s="5"/>
      <c r="S520" s="5"/>
      <c r="T520" s="5"/>
      <c r="V520" s="2"/>
      <c r="X520" s="2"/>
    </row>
    <row r="521" spans="1:24" ht="14.4" thickBot="1">
      <c r="A521" s="103" t="s">
        <v>787</v>
      </c>
      <c r="B521" s="323"/>
      <c r="C521" s="521"/>
      <c r="D521" s="268"/>
      <c r="E521" s="1"/>
      <c r="G521" s="117"/>
      <c r="H521" s="2"/>
      <c r="K521" s="5"/>
      <c r="L521" s="2"/>
      <c r="M521" s="4"/>
      <c r="N521" s="5"/>
      <c r="O521" s="5"/>
      <c r="P521" s="5"/>
      <c r="Q521" s="5"/>
      <c r="R521" s="5"/>
      <c r="S521" s="5"/>
      <c r="T521" s="5"/>
      <c r="V521" s="2"/>
      <c r="X521" s="2"/>
    </row>
    <row r="522" spans="1:24">
      <c r="D522" s="116"/>
      <c r="E522" s="1"/>
      <c r="G522" s="117"/>
      <c r="H522" s="2"/>
      <c r="K522" s="5"/>
      <c r="L522" s="2"/>
      <c r="M522" s="4"/>
      <c r="N522" s="5"/>
      <c r="O522" s="5"/>
      <c r="P522" s="5"/>
      <c r="Q522" s="5"/>
      <c r="R522" s="5"/>
      <c r="S522" s="5"/>
      <c r="T522" s="5"/>
      <c r="V522" s="2"/>
      <c r="X522" s="2"/>
    </row>
    <row r="523" spans="1:24">
      <c r="D523" s="116"/>
      <c r="K523" s="5"/>
      <c r="L523" s="2"/>
      <c r="M523" s="2"/>
      <c r="N523" s="5"/>
      <c r="O523" s="5"/>
      <c r="P523" s="5"/>
      <c r="Q523" s="5"/>
      <c r="R523" s="5"/>
      <c r="S523" s="5"/>
      <c r="T523" s="5"/>
      <c r="U523" s="5"/>
      <c r="V523" s="2"/>
      <c r="X523" s="2"/>
    </row>
    <row r="524" spans="1:24" ht="14.4" thickBot="1">
      <c r="D524" s="116"/>
      <c r="K524" s="5"/>
      <c r="L524" s="2"/>
      <c r="M524" s="2"/>
      <c r="V524" s="2"/>
      <c r="X524" s="2"/>
    </row>
    <row r="525" spans="1:24">
      <c r="C525" s="522"/>
      <c r="D525" s="389"/>
      <c r="E525" s="390"/>
      <c r="F525" s="391"/>
      <c r="G525" s="392"/>
      <c r="H525" s="393"/>
      <c r="I525" s="392"/>
      <c r="J525" s="394"/>
      <c r="K525" s="395"/>
      <c r="L525" s="388" t="s">
        <v>326</v>
      </c>
      <c r="M525" s="396" t="s">
        <v>327</v>
      </c>
      <c r="V525" s="2"/>
      <c r="X525" s="2"/>
    </row>
    <row r="526" spans="1:24">
      <c r="C526" s="523" t="s">
        <v>328</v>
      </c>
      <c r="D526" s="186" t="s">
        <v>330</v>
      </c>
      <c r="E526" s="385"/>
      <c r="F526" s="386"/>
      <c r="G526" s="387"/>
      <c r="H526" s="63" t="s">
        <v>329</v>
      </c>
      <c r="I526" s="387" t="s">
        <v>331</v>
      </c>
      <c r="J526" s="365" t="s">
        <v>332</v>
      </c>
      <c r="K526" s="352"/>
      <c r="L526" s="24"/>
      <c r="M526" s="397">
        <v>40</v>
      </c>
      <c r="N526" s="5"/>
      <c r="O526" s="5"/>
      <c r="P526" s="5"/>
      <c r="Q526" s="5"/>
      <c r="R526" s="5"/>
      <c r="S526" s="5"/>
      <c r="T526" s="5"/>
      <c r="U526" s="5"/>
      <c r="V526" s="2"/>
      <c r="X526" s="2"/>
    </row>
    <row r="527" spans="1:24">
      <c r="C527" s="523"/>
      <c r="D527" s="186" t="s">
        <v>330</v>
      </c>
      <c r="E527" s="385"/>
      <c r="F527" s="386"/>
      <c r="G527" s="387"/>
      <c r="H527" s="63" t="s">
        <v>333</v>
      </c>
      <c r="I527" s="387" t="s">
        <v>334</v>
      </c>
      <c r="J527" s="365" t="s">
        <v>332</v>
      </c>
      <c r="K527" s="352"/>
      <c r="L527" s="24"/>
      <c r="M527" s="397">
        <v>40</v>
      </c>
      <c r="V527" s="2"/>
      <c r="X527" s="2"/>
    </row>
    <row r="528" spans="1:24">
      <c r="C528" s="523"/>
      <c r="D528" s="186" t="s">
        <v>330</v>
      </c>
      <c r="E528" s="385"/>
      <c r="F528" s="386"/>
      <c r="G528" s="387"/>
      <c r="H528" s="63" t="s">
        <v>335</v>
      </c>
      <c r="I528" s="387" t="s">
        <v>336</v>
      </c>
      <c r="J528" s="365" t="s">
        <v>332</v>
      </c>
      <c r="K528" s="352"/>
      <c r="L528" s="24"/>
      <c r="M528" s="397">
        <v>40</v>
      </c>
      <c r="V528" s="2"/>
      <c r="X528" s="2"/>
    </row>
    <row r="529" spans="1:24">
      <c r="C529" s="523"/>
      <c r="D529" s="186"/>
      <c r="E529" s="385"/>
      <c r="F529" s="386"/>
      <c r="G529" s="387"/>
      <c r="H529" s="63"/>
      <c r="I529" s="387"/>
      <c r="J529" s="365"/>
      <c r="K529" s="352"/>
      <c r="L529" s="24"/>
      <c r="M529" s="397"/>
      <c r="V529" s="2"/>
      <c r="X529" s="2"/>
    </row>
    <row r="530" spans="1:24">
      <c r="C530" s="523"/>
      <c r="D530" s="186"/>
      <c r="E530" s="385"/>
      <c r="F530" s="386"/>
      <c r="G530" s="387"/>
      <c r="H530" s="63"/>
      <c r="I530" s="387"/>
      <c r="J530" s="365"/>
      <c r="K530" s="352"/>
      <c r="L530" s="24"/>
      <c r="M530" s="397"/>
      <c r="V530" s="2"/>
      <c r="X530" s="2"/>
    </row>
    <row r="531" spans="1:24">
      <c r="C531" s="523" t="s">
        <v>328</v>
      </c>
      <c r="D531" s="186" t="s">
        <v>338</v>
      </c>
      <c r="E531" s="385"/>
      <c r="F531" s="386"/>
      <c r="G531" s="387"/>
      <c r="H531" s="63" t="s">
        <v>337</v>
      </c>
      <c r="I531" s="387" t="s">
        <v>339</v>
      </c>
      <c r="J531" s="365" t="s">
        <v>332</v>
      </c>
      <c r="K531" s="352"/>
      <c r="L531" s="24"/>
      <c r="M531" s="397">
        <v>40</v>
      </c>
      <c r="V531" s="2"/>
      <c r="X531" s="2"/>
    </row>
    <row r="532" spans="1:24">
      <c r="C532" s="523"/>
      <c r="D532" s="186" t="s">
        <v>338</v>
      </c>
      <c r="E532" s="385"/>
      <c r="F532" s="386"/>
      <c r="G532" s="387"/>
      <c r="H532" s="63" t="s">
        <v>119</v>
      </c>
      <c r="I532" s="387" t="s">
        <v>331</v>
      </c>
      <c r="J532" s="365" t="s">
        <v>332</v>
      </c>
      <c r="K532" s="352"/>
      <c r="L532" s="24"/>
      <c r="M532" s="397">
        <v>40</v>
      </c>
      <c r="V532" s="2"/>
      <c r="X532" s="2"/>
    </row>
    <row r="533" spans="1:24">
      <c r="C533" s="523"/>
      <c r="D533" s="186" t="s">
        <v>338</v>
      </c>
      <c r="E533" s="385"/>
      <c r="F533" s="386"/>
      <c r="G533" s="387"/>
      <c r="H533" s="63" t="s">
        <v>340</v>
      </c>
      <c r="I533" s="387" t="s">
        <v>341</v>
      </c>
      <c r="J533" s="365" t="s">
        <v>332</v>
      </c>
      <c r="K533" s="352"/>
      <c r="L533" s="24"/>
      <c r="M533" s="397">
        <v>40</v>
      </c>
      <c r="V533" s="2"/>
      <c r="X533" s="2"/>
    </row>
    <row r="534" spans="1:24">
      <c r="C534" s="523"/>
      <c r="D534" s="186" t="s">
        <v>338</v>
      </c>
      <c r="E534" s="385"/>
      <c r="F534" s="386"/>
      <c r="G534" s="387"/>
      <c r="H534" s="63" t="s">
        <v>342</v>
      </c>
      <c r="I534" s="387" t="s">
        <v>334</v>
      </c>
      <c r="J534" s="365" t="s">
        <v>332</v>
      </c>
      <c r="K534" s="352"/>
      <c r="L534" s="24">
        <f>314.43+704.13</f>
        <v>1018.56</v>
      </c>
      <c r="M534" s="397">
        <v>40</v>
      </c>
      <c r="V534" s="2"/>
      <c r="X534" s="2"/>
    </row>
    <row r="535" spans="1:24">
      <c r="C535" s="523"/>
      <c r="D535" s="186" t="s">
        <v>338</v>
      </c>
      <c r="E535" s="385"/>
      <c r="F535" s="386"/>
      <c r="G535" s="387"/>
      <c r="H535" s="63" t="s">
        <v>343</v>
      </c>
      <c r="I535" s="387" t="s">
        <v>344</v>
      </c>
      <c r="J535" s="365" t="s">
        <v>345</v>
      </c>
      <c r="K535" s="352"/>
      <c r="L535" s="950" t="s">
        <v>346</v>
      </c>
      <c r="M535" s="951"/>
      <c r="V535" s="2"/>
      <c r="X535" s="2"/>
    </row>
    <row r="536" spans="1:24">
      <c r="C536" s="523"/>
      <c r="D536" s="186" t="s">
        <v>338</v>
      </c>
      <c r="E536" s="385"/>
      <c r="F536" s="386"/>
      <c r="G536" s="387"/>
      <c r="H536" s="63" t="s">
        <v>347</v>
      </c>
      <c r="I536" s="387" t="s">
        <v>336</v>
      </c>
      <c r="J536" s="365" t="s">
        <v>332</v>
      </c>
      <c r="K536" s="352"/>
      <c r="L536" s="24"/>
      <c r="M536" s="397">
        <v>40</v>
      </c>
      <c r="V536" s="2"/>
      <c r="X536" s="2"/>
    </row>
    <row r="537" spans="1:24">
      <c r="C537" s="523"/>
      <c r="D537" s="186"/>
      <c r="E537" s="385"/>
      <c r="F537" s="386"/>
      <c r="G537" s="387"/>
      <c r="H537" s="63"/>
      <c r="I537" s="387"/>
      <c r="J537" s="365"/>
      <c r="K537" s="352"/>
      <c r="L537" s="385"/>
      <c r="M537" s="397"/>
      <c r="V537" s="2"/>
      <c r="X537" s="2"/>
    </row>
    <row r="538" spans="1:24">
      <c r="C538" s="523"/>
      <c r="D538" s="387"/>
      <c r="E538" s="385"/>
      <c r="F538" s="386"/>
      <c r="G538" s="387"/>
      <c r="H538" s="63"/>
      <c r="I538" s="387"/>
      <c r="J538" s="365"/>
      <c r="K538" s="23"/>
      <c r="L538" s="385"/>
      <c r="M538" s="397"/>
      <c r="V538" s="2"/>
      <c r="X538" s="2"/>
    </row>
    <row r="539" spans="1:24" ht="14.4" thickBot="1">
      <c r="C539" s="602" t="s">
        <v>348</v>
      </c>
      <c r="D539" s="399"/>
      <c r="E539" s="400"/>
      <c r="F539" s="401"/>
      <c r="G539" s="399"/>
      <c r="H539" s="402"/>
      <c r="I539" s="399"/>
      <c r="J539" s="403"/>
      <c r="K539" s="398"/>
      <c r="L539" s="400"/>
      <c r="M539" s="404"/>
      <c r="V539" s="2"/>
      <c r="X539" s="2"/>
    </row>
    <row r="540" spans="1:24">
      <c r="D540" s="116"/>
      <c r="K540" s="5"/>
      <c r="L540" s="2"/>
      <c r="M540" s="2"/>
      <c r="V540" s="2"/>
      <c r="X540" s="2"/>
    </row>
    <row r="541" spans="1:24">
      <c r="D541" s="116"/>
      <c r="K541" s="5"/>
      <c r="L541" s="2"/>
      <c r="M541" s="2"/>
      <c r="V541" s="2"/>
      <c r="X541" s="2"/>
    </row>
    <row r="542" spans="1:24">
      <c r="D542" s="116"/>
      <c r="K542" s="5"/>
      <c r="L542" s="2"/>
      <c r="M542" s="2"/>
      <c r="V542" s="2"/>
      <c r="X542" s="2"/>
    </row>
    <row r="543" spans="1:24">
      <c r="D543" s="116"/>
      <c r="K543" s="5"/>
      <c r="L543" s="2"/>
      <c r="M543" s="2"/>
      <c r="V543" s="2"/>
      <c r="X543" s="2"/>
    </row>
    <row r="544" spans="1:24">
      <c r="A544" s="53" t="s">
        <v>734</v>
      </c>
      <c r="B544" s="47"/>
      <c r="C544" s="53"/>
      <c r="D544" s="116"/>
      <c r="E544" s="53"/>
      <c r="G544" s="118"/>
      <c r="K544" s="5"/>
      <c r="L544" s="2"/>
      <c r="M544" s="2"/>
      <c r="V544" s="2"/>
      <c r="X544" s="2"/>
    </row>
    <row r="545" spans="1:24">
      <c r="A545" s="45" t="s">
        <v>765</v>
      </c>
      <c r="B545" s="46" t="s">
        <v>625</v>
      </c>
      <c r="C545" s="47"/>
      <c r="D545" s="116"/>
      <c r="E545" s="43"/>
      <c r="G545" s="119"/>
      <c r="K545" s="5"/>
      <c r="L545" s="2"/>
      <c r="M545" s="2"/>
      <c r="V545" s="2"/>
      <c r="X545" s="2"/>
    </row>
    <row r="546" spans="1:24">
      <c r="A546" s="44" t="s">
        <v>738</v>
      </c>
      <c r="B546" s="47"/>
      <c r="C546" s="149"/>
      <c r="D546" s="116"/>
      <c r="E546" s="48" t="s">
        <v>764</v>
      </c>
      <c r="G546" s="120"/>
      <c r="K546" s="5"/>
      <c r="L546" s="2"/>
      <c r="M546" s="2"/>
      <c r="V546" s="2"/>
      <c r="X546" s="2"/>
    </row>
    <row r="547" spans="1:24">
      <c r="A547" s="44" t="s">
        <v>737</v>
      </c>
      <c r="B547" s="47"/>
      <c r="C547" s="149"/>
      <c r="D547" s="116"/>
      <c r="E547" s="48" t="s">
        <v>626</v>
      </c>
      <c r="G547" s="120"/>
      <c r="K547" s="5"/>
      <c r="L547" s="2"/>
      <c r="M547" s="2"/>
      <c r="V547" s="2"/>
      <c r="X547" s="2"/>
    </row>
    <row r="548" spans="1:24">
      <c r="A548" s="49" t="s">
        <v>736</v>
      </c>
      <c r="B548" s="47"/>
      <c r="C548" s="149"/>
      <c r="D548" s="116"/>
      <c r="E548" s="48" t="s">
        <v>627</v>
      </c>
      <c r="G548" s="120"/>
      <c r="K548" s="5"/>
      <c r="L548" s="2"/>
      <c r="M548" s="2"/>
      <c r="V548" s="2"/>
      <c r="X548" s="2"/>
    </row>
    <row r="549" spans="1:24">
      <c r="A549" s="50" t="s">
        <v>735</v>
      </c>
      <c r="B549" s="47"/>
      <c r="C549" s="149"/>
      <c r="D549" s="116"/>
      <c r="E549" s="48" t="s">
        <v>628</v>
      </c>
      <c r="G549" s="120"/>
      <c r="K549" s="5"/>
      <c r="L549" s="2"/>
      <c r="M549" s="2"/>
      <c r="V549" s="2"/>
      <c r="X549" s="2"/>
    </row>
    <row r="550" spans="1:24">
      <c r="A550" s="44" t="s">
        <v>629</v>
      </c>
      <c r="B550" s="47"/>
      <c r="C550" s="149"/>
      <c r="D550" s="116"/>
      <c r="E550" s="48" t="s">
        <v>630</v>
      </c>
      <c r="G550" s="120"/>
      <c r="K550" s="5"/>
      <c r="L550" s="2"/>
      <c r="M550" s="2"/>
      <c r="V550" s="2"/>
      <c r="X550" s="2"/>
    </row>
    <row r="551" spans="1:24" ht="27.6">
      <c r="A551" s="50" t="s">
        <v>631</v>
      </c>
      <c r="C551" s="51" t="s">
        <v>633</v>
      </c>
      <c r="D551" s="116"/>
      <c r="E551" s="48" t="s">
        <v>632</v>
      </c>
      <c r="G551" s="120"/>
      <c r="K551" s="5"/>
      <c r="L551" s="2"/>
      <c r="M551" s="2"/>
      <c r="V551" s="2"/>
      <c r="X551" s="2"/>
    </row>
    <row r="552" spans="1:24">
      <c r="D552" s="116"/>
      <c r="K552" s="5"/>
      <c r="L552" s="2"/>
      <c r="M552" s="2"/>
      <c r="V552" s="2"/>
      <c r="X552" s="2"/>
    </row>
    <row r="553" spans="1:24">
      <c r="D553" s="116"/>
      <c r="K553" s="5"/>
      <c r="L553" s="2"/>
      <c r="M553" s="2"/>
      <c r="V553" s="2"/>
      <c r="X553" s="2"/>
    </row>
    <row r="554" spans="1:24">
      <c r="D554" s="116"/>
      <c r="K554" s="5"/>
      <c r="L554" s="2"/>
      <c r="M554" s="2"/>
      <c r="V554" s="2"/>
      <c r="X554" s="2"/>
    </row>
    <row r="555" spans="1:24">
      <c r="D555" s="116"/>
      <c r="K555" s="5"/>
      <c r="L555" s="2"/>
      <c r="M555" s="2"/>
      <c r="V555" s="2"/>
      <c r="X555" s="2"/>
    </row>
    <row r="556" spans="1:24">
      <c r="D556" s="116"/>
      <c r="K556" s="5"/>
      <c r="L556" s="2"/>
      <c r="M556" s="2"/>
      <c r="V556" s="2"/>
      <c r="X556" s="2"/>
    </row>
    <row r="557" spans="1:24">
      <c r="D557" s="116"/>
      <c r="K557" s="5"/>
      <c r="L557" s="2"/>
      <c r="M557" s="2"/>
      <c r="V557" s="2"/>
      <c r="X557" s="2"/>
    </row>
    <row r="558" spans="1:24">
      <c r="D558" s="116"/>
      <c r="K558" s="5"/>
      <c r="L558" s="2"/>
      <c r="M558" s="2"/>
      <c r="V558" s="2"/>
      <c r="X558" s="2"/>
    </row>
    <row r="559" spans="1:24">
      <c r="D559" s="116"/>
      <c r="K559" s="5"/>
      <c r="L559" s="2"/>
      <c r="M559" s="2"/>
      <c r="V559" s="2"/>
      <c r="X559" s="2"/>
    </row>
    <row r="560" spans="1:24">
      <c r="D560" s="116"/>
      <c r="K560" s="5"/>
      <c r="L560" s="2"/>
      <c r="M560" s="2"/>
      <c r="V560" s="2"/>
      <c r="X560" s="2"/>
    </row>
    <row r="561" spans="1:24">
      <c r="D561" s="116"/>
      <c r="K561" s="5"/>
      <c r="L561" s="2"/>
      <c r="M561" s="2"/>
      <c r="V561" s="2"/>
      <c r="X561" s="2"/>
    </row>
    <row r="562" spans="1:24">
      <c r="A562" s="187" t="s">
        <v>1651</v>
      </c>
      <c r="D562" s="116"/>
      <c r="K562" s="5"/>
      <c r="L562" s="2"/>
      <c r="M562" s="2"/>
      <c r="V562" s="2"/>
      <c r="X562" s="2"/>
    </row>
    <row r="563" spans="1:24">
      <c r="A563" s="1" t="s">
        <v>1648</v>
      </c>
      <c r="D563" s="116"/>
      <c r="K563" s="5"/>
      <c r="L563" s="2"/>
      <c r="M563" s="2"/>
      <c r="V563" s="2"/>
      <c r="X563" s="2"/>
    </row>
    <row r="564" spans="1:24">
      <c r="A564" s="1" t="s">
        <v>1649</v>
      </c>
      <c r="D564" s="116"/>
      <c r="K564" s="5"/>
      <c r="L564" s="2"/>
      <c r="M564" s="2"/>
      <c r="V564" s="2"/>
      <c r="X564" s="2"/>
    </row>
    <row r="565" spans="1:24">
      <c r="A565" s="1" t="s">
        <v>1650</v>
      </c>
      <c r="D565" s="116"/>
      <c r="K565" s="5"/>
      <c r="L565" s="2"/>
      <c r="M565" s="2"/>
      <c r="V565" s="2"/>
      <c r="X565" s="2"/>
    </row>
    <row r="566" spans="1:24">
      <c r="D566" s="116"/>
      <c r="K566" s="5"/>
      <c r="L566" s="2"/>
      <c r="M566" s="2"/>
      <c r="V566" s="2"/>
      <c r="X566" s="2"/>
    </row>
    <row r="567" spans="1:24">
      <c r="A567" s="1" t="s">
        <v>1652</v>
      </c>
      <c r="D567" s="116"/>
      <c r="K567" s="5"/>
      <c r="L567" s="2"/>
      <c r="M567" s="2"/>
      <c r="V567" s="2"/>
      <c r="X567" s="2"/>
    </row>
    <row r="568" spans="1:24">
      <c r="A568" s="1" t="s">
        <v>1653</v>
      </c>
      <c r="D568" s="116"/>
      <c r="K568" s="5"/>
      <c r="L568" s="2"/>
      <c r="M568" s="2"/>
      <c r="V568" s="2"/>
      <c r="X568" s="2"/>
    </row>
    <row r="569" spans="1:24">
      <c r="A569" s="1" t="s">
        <v>1654</v>
      </c>
      <c r="D569" s="116"/>
      <c r="K569" s="5"/>
      <c r="L569" s="2"/>
      <c r="M569" s="2"/>
      <c r="V569" s="2"/>
      <c r="X569" s="2"/>
    </row>
    <row r="570" spans="1:24">
      <c r="D570" s="116"/>
      <c r="K570" s="5"/>
      <c r="L570" s="2"/>
      <c r="M570" s="2"/>
      <c r="V570" s="2"/>
      <c r="X570" s="2"/>
    </row>
    <row r="571" spans="1:24">
      <c r="D571" s="116"/>
      <c r="K571" s="5"/>
      <c r="L571" s="2"/>
      <c r="M571" s="2"/>
      <c r="V571" s="2"/>
      <c r="X571" s="2"/>
    </row>
    <row r="572" spans="1:24">
      <c r="D572" s="116"/>
      <c r="K572" s="5"/>
      <c r="L572" s="2"/>
      <c r="M572" s="2"/>
      <c r="V572" s="2"/>
      <c r="X572" s="2"/>
    </row>
    <row r="573" spans="1:24">
      <c r="D573" s="116"/>
      <c r="K573" s="5"/>
      <c r="L573" s="2"/>
      <c r="M573" s="2"/>
      <c r="V573" s="2"/>
      <c r="X573" s="2"/>
    </row>
    <row r="574" spans="1:24">
      <c r="D574" s="116"/>
      <c r="K574" s="5"/>
      <c r="L574" s="2"/>
      <c r="M574" s="2"/>
      <c r="V574" s="2"/>
      <c r="X574" s="2"/>
    </row>
    <row r="575" spans="1:24">
      <c r="D575" s="116"/>
      <c r="K575" s="5"/>
      <c r="L575" s="2"/>
      <c r="M575" s="2"/>
      <c r="V575" s="2"/>
      <c r="X575" s="2"/>
    </row>
    <row r="576" spans="1:24">
      <c r="D576" s="116"/>
      <c r="K576" s="5"/>
      <c r="L576" s="2"/>
      <c r="M576" s="2"/>
      <c r="V576" s="2"/>
      <c r="X576" s="2"/>
    </row>
    <row r="577" spans="4:24">
      <c r="D577" s="116"/>
      <c r="K577" s="5"/>
      <c r="L577" s="2"/>
      <c r="M577" s="2"/>
      <c r="V577" s="2"/>
      <c r="X577" s="2"/>
    </row>
    <row r="578" spans="4:24">
      <c r="D578" s="116"/>
      <c r="K578" s="5"/>
      <c r="L578" s="2"/>
      <c r="M578" s="2"/>
      <c r="V578" s="2"/>
      <c r="X578" s="2"/>
    </row>
    <row r="579" spans="4:24">
      <c r="D579" s="116"/>
      <c r="K579" s="5"/>
      <c r="L579" s="2"/>
      <c r="M579" s="2"/>
      <c r="V579" s="2"/>
      <c r="X579" s="2"/>
    </row>
    <row r="580" spans="4:24">
      <c r="D580" s="116"/>
      <c r="K580" s="5"/>
      <c r="L580" s="2"/>
      <c r="M580" s="2"/>
      <c r="V580" s="2"/>
      <c r="X580" s="2"/>
    </row>
    <row r="581" spans="4:24">
      <c r="D581" s="116"/>
      <c r="K581" s="5"/>
      <c r="L581" s="2"/>
      <c r="M581" s="2"/>
      <c r="V581" s="2"/>
      <c r="X581" s="2"/>
    </row>
    <row r="582" spans="4:24">
      <c r="D582" s="116"/>
      <c r="K582" s="5"/>
      <c r="L582" s="2"/>
      <c r="M582" s="2"/>
      <c r="V582" s="2"/>
      <c r="X582" s="2"/>
    </row>
    <row r="583" spans="4:24">
      <c r="D583" s="116"/>
      <c r="K583" s="5"/>
      <c r="L583" s="2"/>
      <c r="M583" s="2"/>
      <c r="V583" s="2"/>
      <c r="X583" s="2"/>
    </row>
    <row r="584" spans="4:24">
      <c r="D584" s="116"/>
      <c r="K584" s="5"/>
      <c r="L584" s="2"/>
      <c r="M584" s="2"/>
      <c r="V584" s="2"/>
      <c r="X584" s="2"/>
    </row>
    <row r="585" spans="4:24">
      <c r="D585" s="116"/>
      <c r="K585" s="5"/>
      <c r="L585" s="2"/>
      <c r="M585" s="2"/>
      <c r="V585" s="2"/>
      <c r="X585" s="2"/>
    </row>
    <row r="586" spans="4:24">
      <c r="D586" s="116"/>
      <c r="K586" s="5"/>
      <c r="L586" s="2"/>
      <c r="M586" s="2"/>
      <c r="V586" s="2"/>
      <c r="X586" s="2"/>
    </row>
    <row r="587" spans="4:24">
      <c r="D587" s="116"/>
      <c r="K587" s="5"/>
      <c r="L587" s="2"/>
      <c r="M587" s="2"/>
      <c r="V587" s="2"/>
      <c r="X587" s="2"/>
    </row>
    <row r="588" spans="4:24">
      <c r="D588" s="116"/>
      <c r="K588" s="5"/>
      <c r="L588" s="2"/>
      <c r="M588" s="2"/>
      <c r="V588" s="2"/>
      <c r="X588" s="2"/>
    </row>
    <row r="589" spans="4:24">
      <c r="D589" s="116"/>
      <c r="K589" s="5"/>
      <c r="L589" s="2"/>
      <c r="M589" s="2"/>
      <c r="V589" s="2"/>
      <c r="X589" s="2"/>
    </row>
    <row r="590" spans="4:24">
      <c r="D590" s="116"/>
      <c r="K590" s="5"/>
      <c r="L590" s="2"/>
      <c r="M590" s="2"/>
      <c r="V590" s="2"/>
      <c r="X590" s="2"/>
    </row>
    <row r="591" spans="4:24">
      <c r="D591" s="116"/>
      <c r="K591" s="5"/>
      <c r="L591" s="2"/>
      <c r="M591" s="2"/>
      <c r="V591" s="2"/>
      <c r="X591" s="2"/>
    </row>
    <row r="592" spans="4:24">
      <c r="D592" s="116"/>
      <c r="K592" s="5"/>
      <c r="L592" s="2"/>
      <c r="M592" s="2"/>
      <c r="V592" s="2"/>
      <c r="X592" s="2"/>
    </row>
    <row r="593" spans="4:24">
      <c r="D593" s="116"/>
      <c r="K593" s="5"/>
      <c r="L593" s="2"/>
      <c r="M593" s="2"/>
      <c r="V593" s="2"/>
      <c r="X593" s="2"/>
    </row>
    <row r="594" spans="4:24">
      <c r="D594" s="116"/>
      <c r="K594" s="5"/>
      <c r="L594" s="2"/>
      <c r="M594" s="2"/>
      <c r="V594" s="2"/>
      <c r="X594" s="2"/>
    </row>
    <row r="595" spans="4:24">
      <c r="D595" s="116"/>
      <c r="K595" s="5"/>
      <c r="L595" s="2"/>
      <c r="M595" s="2"/>
      <c r="V595" s="2"/>
      <c r="X595" s="2"/>
    </row>
    <row r="596" spans="4:24">
      <c r="D596" s="116"/>
      <c r="K596" s="5"/>
      <c r="L596" s="2"/>
      <c r="M596" s="2"/>
      <c r="V596" s="2"/>
      <c r="X596" s="2"/>
    </row>
    <row r="597" spans="4:24">
      <c r="D597" s="116"/>
      <c r="K597" s="5"/>
      <c r="L597" s="2"/>
      <c r="M597" s="2"/>
      <c r="V597" s="2"/>
      <c r="X597" s="2"/>
    </row>
    <row r="598" spans="4:24">
      <c r="D598" s="116"/>
      <c r="K598" s="5"/>
      <c r="L598" s="2"/>
      <c r="M598" s="2"/>
      <c r="V598" s="2"/>
      <c r="X598" s="2"/>
    </row>
    <row r="599" spans="4:24">
      <c r="D599" s="116"/>
      <c r="K599" s="5"/>
      <c r="L599" s="2"/>
      <c r="M599" s="2"/>
      <c r="V599" s="2"/>
      <c r="X599" s="2"/>
    </row>
    <row r="600" spans="4:24">
      <c r="D600" s="116"/>
      <c r="K600" s="5"/>
      <c r="L600" s="2"/>
      <c r="M600" s="2"/>
      <c r="V600" s="2"/>
      <c r="X600" s="2"/>
    </row>
    <row r="601" spans="4:24">
      <c r="D601" s="116"/>
      <c r="K601" s="5"/>
      <c r="L601" s="2"/>
      <c r="M601" s="2"/>
      <c r="V601" s="2"/>
      <c r="X601" s="2"/>
    </row>
    <row r="602" spans="4:24">
      <c r="D602" s="116"/>
      <c r="K602" s="5"/>
      <c r="L602" s="2"/>
      <c r="M602" s="2"/>
      <c r="V602" s="2"/>
      <c r="X602" s="2"/>
    </row>
    <row r="603" spans="4:24">
      <c r="D603" s="116"/>
      <c r="K603" s="5"/>
      <c r="L603" s="2"/>
      <c r="M603" s="2"/>
      <c r="V603" s="2"/>
      <c r="X603" s="2"/>
    </row>
    <row r="604" spans="4:24">
      <c r="D604" s="116"/>
      <c r="K604" s="5"/>
      <c r="L604" s="2"/>
      <c r="M604" s="2"/>
      <c r="V604" s="2"/>
      <c r="X604" s="2"/>
    </row>
    <row r="605" spans="4:24">
      <c r="D605" s="116"/>
      <c r="K605" s="5"/>
      <c r="L605" s="2"/>
      <c r="M605" s="2"/>
      <c r="V605" s="2"/>
      <c r="X605" s="2"/>
    </row>
    <row r="606" spans="4:24">
      <c r="D606" s="116"/>
      <c r="K606" s="5"/>
      <c r="L606" s="2"/>
      <c r="M606" s="2"/>
      <c r="V606" s="2"/>
      <c r="X606" s="2"/>
    </row>
    <row r="607" spans="4:24">
      <c r="D607" s="116"/>
      <c r="K607" s="5"/>
      <c r="L607" s="2"/>
      <c r="M607" s="2"/>
      <c r="V607" s="2"/>
      <c r="X607" s="2"/>
    </row>
    <row r="608" spans="4:24">
      <c r="D608" s="116"/>
      <c r="K608" s="5"/>
      <c r="L608" s="2"/>
      <c r="M608" s="2"/>
      <c r="V608" s="2"/>
      <c r="X608" s="2"/>
    </row>
    <row r="609" spans="4:24">
      <c r="D609" s="116"/>
      <c r="K609" s="5"/>
      <c r="L609" s="2"/>
      <c r="M609" s="2"/>
      <c r="V609" s="2"/>
      <c r="X609" s="2"/>
    </row>
    <row r="610" spans="4:24">
      <c r="D610" s="116"/>
      <c r="K610" s="5"/>
      <c r="L610" s="2"/>
      <c r="M610" s="2"/>
      <c r="V610" s="2"/>
      <c r="X610" s="2"/>
    </row>
    <row r="611" spans="4:24">
      <c r="D611" s="116"/>
      <c r="K611" s="5"/>
      <c r="L611" s="2"/>
      <c r="M611" s="2"/>
      <c r="V611" s="2"/>
      <c r="X611" s="2"/>
    </row>
    <row r="612" spans="4:24">
      <c r="D612" s="116"/>
      <c r="K612" s="5"/>
      <c r="L612" s="2"/>
      <c r="M612" s="2"/>
      <c r="V612" s="2"/>
      <c r="X612" s="2"/>
    </row>
    <row r="613" spans="4:24">
      <c r="D613" s="116"/>
      <c r="K613" s="5"/>
      <c r="L613" s="2"/>
      <c r="M613" s="2"/>
      <c r="V613" s="2"/>
      <c r="X613" s="2"/>
    </row>
    <row r="614" spans="4:24">
      <c r="D614" s="116"/>
      <c r="K614" s="5"/>
      <c r="L614" s="2"/>
      <c r="M614" s="2"/>
      <c r="V614" s="2"/>
      <c r="X614" s="2"/>
    </row>
    <row r="615" spans="4:24">
      <c r="D615" s="116"/>
      <c r="K615" s="5"/>
      <c r="L615" s="2"/>
      <c r="M615" s="2"/>
      <c r="V615" s="2"/>
      <c r="X615" s="2"/>
    </row>
    <row r="616" spans="4:24">
      <c r="D616" s="116"/>
      <c r="K616" s="5"/>
      <c r="L616" s="2"/>
      <c r="M616" s="2"/>
      <c r="V616" s="2"/>
      <c r="X616" s="2"/>
    </row>
    <row r="617" spans="4:24">
      <c r="D617" s="116"/>
      <c r="K617" s="5"/>
      <c r="L617" s="2"/>
      <c r="M617" s="2"/>
      <c r="V617" s="2"/>
      <c r="X617" s="2"/>
    </row>
    <row r="618" spans="4:24">
      <c r="D618" s="116"/>
      <c r="K618" s="5"/>
      <c r="L618" s="2"/>
      <c r="M618" s="2"/>
      <c r="V618" s="2"/>
      <c r="X618" s="2"/>
    </row>
    <row r="619" spans="4:24">
      <c r="D619" s="116"/>
      <c r="K619" s="5"/>
      <c r="L619" s="2"/>
      <c r="M619" s="2"/>
      <c r="V619" s="2"/>
      <c r="X619" s="2"/>
    </row>
    <row r="620" spans="4:24">
      <c r="D620" s="116"/>
      <c r="K620" s="5"/>
      <c r="L620" s="2"/>
      <c r="M620" s="2"/>
      <c r="V620" s="2"/>
      <c r="X620" s="2"/>
    </row>
    <row r="621" spans="4:24">
      <c r="D621" s="116"/>
      <c r="K621" s="5"/>
      <c r="L621" s="2"/>
      <c r="M621" s="2"/>
      <c r="V621" s="2"/>
      <c r="X621" s="2"/>
    </row>
    <row r="622" spans="4:24">
      <c r="D622" s="116"/>
      <c r="K622" s="5"/>
      <c r="L622" s="2"/>
      <c r="M622" s="2"/>
      <c r="V622" s="2"/>
      <c r="X622" s="2"/>
    </row>
    <row r="623" spans="4:24">
      <c r="D623" s="116"/>
      <c r="K623" s="5"/>
      <c r="L623" s="2"/>
      <c r="M623" s="2"/>
      <c r="V623" s="2"/>
      <c r="X623" s="2"/>
    </row>
    <row r="624" spans="4:24">
      <c r="D624" s="116"/>
      <c r="K624" s="5"/>
      <c r="L624" s="2"/>
      <c r="M624" s="2"/>
      <c r="V624" s="2"/>
      <c r="X624" s="2"/>
    </row>
    <row r="625" spans="4:24">
      <c r="D625" s="116"/>
      <c r="K625" s="5"/>
      <c r="L625" s="2"/>
      <c r="M625" s="2"/>
      <c r="V625" s="2"/>
      <c r="X625" s="2"/>
    </row>
    <row r="626" spans="4:24">
      <c r="D626" s="116"/>
      <c r="K626" s="5"/>
      <c r="L626" s="2"/>
      <c r="M626" s="2"/>
      <c r="V626" s="2"/>
      <c r="X626" s="2"/>
    </row>
    <row r="627" spans="4:24">
      <c r="D627" s="116"/>
      <c r="K627" s="5"/>
      <c r="L627" s="2"/>
      <c r="M627" s="2"/>
      <c r="V627" s="2"/>
      <c r="X627" s="2"/>
    </row>
    <row r="628" spans="4:24">
      <c r="D628" s="116"/>
      <c r="K628" s="5"/>
      <c r="L628" s="2"/>
      <c r="M628" s="2"/>
      <c r="V628" s="2"/>
      <c r="X628" s="2"/>
    </row>
    <row r="629" spans="4:24">
      <c r="D629" s="116"/>
      <c r="K629" s="5"/>
      <c r="L629" s="2"/>
      <c r="M629" s="2"/>
      <c r="V629" s="2"/>
      <c r="X629" s="2"/>
    </row>
    <row r="630" spans="4:24">
      <c r="D630" s="116"/>
      <c r="K630" s="5"/>
      <c r="L630" s="2"/>
      <c r="M630" s="2"/>
      <c r="V630" s="2"/>
      <c r="X630" s="2"/>
    </row>
    <row r="631" spans="4:24">
      <c r="D631" s="116"/>
      <c r="K631" s="5"/>
      <c r="L631" s="2"/>
      <c r="M631" s="2"/>
      <c r="V631" s="2"/>
      <c r="X631" s="2"/>
    </row>
  </sheetData>
  <autoFilter ref="A1:AB521" xr:uid="{C8429155-61AF-478E-BB0D-017769946BC5}"/>
  <mergeCells count="32">
    <mergeCell ref="Z294:Z297"/>
    <mergeCell ref="Y413:Y415"/>
    <mergeCell ref="Z413:Z415"/>
    <mergeCell ref="H156:H157"/>
    <mergeCell ref="I156:I157"/>
    <mergeCell ref="L535:M535"/>
    <mergeCell ref="H413:H415"/>
    <mergeCell ref="C413:C415"/>
    <mergeCell ref="A278:A281"/>
    <mergeCell ref="B278:B281"/>
    <mergeCell ref="E294:E297"/>
    <mergeCell ref="F294:F297"/>
    <mergeCell ref="G316:G317"/>
    <mergeCell ref="A294:A297"/>
    <mergeCell ref="B294:B297"/>
    <mergeCell ref="C294:C297"/>
    <mergeCell ref="G294:G297"/>
    <mergeCell ref="A459:A462"/>
    <mergeCell ref="B459:B462"/>
    <mergeCell ref="C459:C462"/>
    <mergeCell ref="L459:L462"/>
    <mergeCell ref="A487:A489"/>
    <mergeCell ref="B487:B489"/>
    <mergeCell ref="H487:H489"/>
    <mergeCell ref="G487:G489"/>
    <mergeCell ref="C278:C281"/>
    <mergeCell ref="B413:B415"/>
    <mergeCell ref="A413:A415"/>
    <mergeCell ref="E413:E415"/>
    <mergeCell ref="F413:F415"/>
    <mergeCell ref="E459:E462"/>
    <mergeCell ref="F459:F462"/>
  </mergeCells>
  <hyperlinks>
    <hyperlink ref="Z10" r:id="rId1" xr:uid="{C44D4AA6-79AE-457B-B90B-EA70BAE0DD24}"/>
    <hyperlink ref="Z11" r:id="rId2" xr:uid="{5DF97F99-B91A-4756-BEF2-AA9581EA9741}"/>
    <hyperlink ref="Z13" r:id="rId3" display="mailto:tomas.bittera@schindler.com" xr:uid="{9F343F8E-8177-4D3A-BEB9-47262654140E}"/>
    <hyperlink ref="Z15" r:id="rId4" display="mailto:tomas.bittera@schindler.com" xr:uid="{CF29A132-16AD-4E2C-BDD0-1868DCC82C56}"/>
    <hyperlink ref="Z14" r:id="rId5" display="mailto:tomas.bittera@schindler.com" xr:uid="{A306CE12-EA63-4A95-9454-1EBC8EC6310D}"/>
    <hyperlink ref="Z57" r:id="rId6" xr:uid="{0D13B475-36BD-44FA-AB17-9135DA807385}"/>
    <hyperlink ref="Z63" r:id="rId7" xr:uid="{2453F174-1537-4E52-832F-5A858C1FD8E0}"/>
    <hyperlink ref="Z66" r:id="rId8" display="mailto:urban.mihelic@schindler.com" xr:uid="{60BF8C2D-02DE-4CC1-B682-96035A74540D}"/>
    <hyperlink ref="Z90" r:id="rId9" display="mailto:martin.studeny@schindler.com" xr:uid="{6DD5D5CD-8313-40A2-82F3-4AA6B7FB6C73}"/>
    <hyperlink ref="Z95" r:id="rId10" display="mailto:cesar.serrablo@schindler.com" xr:uid="{102722CF-D723-42F6-BBCC-56E57A1A91CA}"/>
    <hyperlink ref="Z113" r:id="rId11" xr:uid="{9F770152-F278-4E41-8E50-50A0CBABB3B1}"/>
    <hyperlink ref="C121" r:id="rId12" display="javascript:void(0)" xr:uid="{DB49E146-EA3B-4B65-836E-83FC4F32C23E}"/>
    <hyperlink ref="C122" r:id="rId13" display="javascript:void(0)" xr:uid="{B6B4443A-D681-422C-873C-26873C6551C3}"/>
    <hyperlink ref="C123" r:id="rId14" display="javascript:void(0)" xr:uid="{C989D460-5241-4123-B45E-DD9CF76A51AD}"/>
    <hyperlink ref="C124" r:id="rId15" display="javascript:void(0)" xr:uid="{990A0323-71EC-4B25-BA47-72438AC2FF9A}"/>
    <hyperlink ref="Z128" r:id="rId16" display="mailto:cesar.serrablo@schindler.com" xr:uid="{2B7A85F6-027F-4F0B-85D4-529113724643}"/>
    <hyperlink ref="Z129" r:id="rId17" display="mailto:zdenko.tkalec@schindler.com" xr:uid="{02C3B486-4E7C-4E2A-97F2-8706635977C1}"/>
    <hyperlink ref="A138" r:id="rId18" display="mailto:dennis.meitzner@schindler.com" xr:uid="{1730CC12-D003-43CF-9BCE-BC04275EC88B}"/>
    <hyperlink ref="Z138" r:id="rId19" display="mailto:dennis.meitzner@schindler.com" xr:uid="{E67B9EEA-FDFD-4FDC-A1AD-13AB06FD1913}"/>
    <hyperlink ref="A150" r:id="rId20" xr:uid="{7D69DC02-CA8F-45ED-97F4-63967E84829F}"/>
    <hyperlink ref="Z155" r:id="rId21" display="mailto:luca.lo.presti@schindler.com" xr:uid="{68466AF8-2B1C-4229-93DD-E1F7247812CA}"/>
    <hyperlink ref="Z148" r:id="rId22" xr:uid="{D01F265B-7F1E-446F-B71B-D9BE1A6636B8}"/>
    <hyperlink ref="Z142" r:id="rId23" xr:uid="{FE34A91F-D9DD-4A26-AC13-9890E154AAF2}"/>
    <hyperlink ref="Z163" r:id="rId24" xr:uid="{FE5E2F81-8A4B-40D9-98CF-489753268E62}"/>
    <hyperlink ref="Z176" r:id="rId25" xr:uid="{2DECF6D2-5D12-4594-BEB8-10DE24D9BF75}"/>
    <hyperlink ref="Z168" r:id="rId26" xr:uid="{D802A777-A9F3-4E36-967C-6C85808A566F}"/>
    <hyperlink ref="Z94" r:id="rId27" xr:uid="{9D59BE50-B04A-4C90-8BFC-FBE3D417D912}"/>
    <hyperlink ref="Z146" r:id="rId28" xr:uid="{967E3338-E5EF-4C1C-AAEF-55BC2BC19DA0}"/>
    <hyperlink ref="Z144" r:id="rId29" xr:uid="{3DB68DB6-FA01-464B-A803-8DEFB6C2504E}"/>
    <hyperlink ref="Z145" r:id="rId30" xr:uid="{A6850AB7-F975-424E-8175-5C9918F44F96}"/>
    <hyperlink ref="Z51" r:id="rId31" xr:uid="{55138CF2-5E8F-4D43-8E8C-1CD167F9A05E}"/>
    <hyperlink ref="Z47" r:id="rId32" xr:uid="{7AE4BEC9-F0F2-41DA-86DF-DAB97780CDF3}"/>
    <hyperlink ref="Z52" r:id="rId33" xr:uid="{65283FEA-5DC9-4D9D-BDFD-F5C96E906890}"/>
    <hyperlink ref="Z61" r:id="rId34" xr:uid="{FA6391E6-884F-4532-A153-ABE8DCD5C3FB}"/>
    <hyperlink ref="Z64" r:id="rId35" xr:uid="{C2175F40-CB43-42B1-BA9F-FB1A74AEB26F}"/>
    <hyperlink ref="Z59" r:id="rId36" xr:uid="{8A3D4768-97EB-441A-B524-08F3B592A0D9}"/>
    <hyperlink ref="Z177" r:id="rId37" display="mailto:bartosz.kaczorowski@schindler.com" xr:uid="{5A9862AF-03F3-47D7-95E2-5DFE9C1B3124}"/>
    <hyperlink ref="Z178" r:id="rId38" xr:uid="{ED56EA93-996C-48DE-ABF1-BFD7070A0AC0}"/>
    <hyperlink ref="Z180" r:id="rId39" xr:uid="{E38C4B32-6CEB-41D0-82A6-942088815279}"/>
    <hyperlink ref="Z181" r:id="rId40" xr:uid="{459F8555-CF11-4F2C-B7C8-F1713F5ACDE6}"/>
    <hyperlink ref="Z189" r:id="rId41" xr:uid="{2B1F07B4-E37B-452A-9A1C-59FEC3627D39}"/>
    <hyperlink ref="Z89" r:id="rId42" xr:uid="{F37DBF4F-C749-4E20-AB79-EFD080419B14}"/>
    <hyperlink ref="Z158" r:id="rId43" xr:uid="{1CED145C-D7C2-42F1-B81F-ADD5A89C59D2}"/>
    <hyperlink ref="Z186" r:id="rId44" xr:uid="{AD409AC1-DA6C-4192-82B1-2AB456AFF4DE}"/>
    <hyperlink ref="Z187" r:id="rId45" xr:uid="{84E20797-6FEB-4B3B-8E2C-1E307BA1E7E6}"/>
    <hyperlink ref="Z188" r:id="rId46" xr:uid="{23F013B1-EDCA-4B24-B23C-8CE6138FA998}"/>
    <hyperlink ref="Z164" r:id="rId47" xr:uid="{EB7862D2-285F-4DAB-ACC9-60CBBEA1919C}"/>
    <hyperlink ref="Z194" r:id="rId48" display="mailto:marcel.boeser@schindler.com" xr:uid="{F4476828-B275-4898-AAD0-20F84EF033A2}"/>
    <hyperlink ref="Z193" r:id="rId49" xr:uid="{DD446FA3-1743-413C-86F4-BF89B45BC9B4}"/>
    <hyperlink ref="Z195" r:id="rId50" xr:uid="{96C140EE-D1B1-48AD-8119-1663167BF163}"/>
    <hyperlink ref="Z190" r:id="rId51" display="gundula.glindemann@schindler.com" xr:uid="{84D25ED2-203D-4158-8C7D-016D18D57315}"/>
    <hyperlink ref="Z203" r:id="rId52" xr:uid="{99A655FE-2E15-4722-99C2-98E9CF50CABD}"/>
    <hyperlink ref="Z199" r:id="rId53" xr:uid="{CB98DB0A-749E-4763-B6E4-1BD2F05050A0}"/>
    <hyperlink ref="Z196" r:id="rId54" xr:uid="{AD87163A-7B5B-4B5F-A410-FF2875494419}"/>
    <hyperlink ref="Z197" r:id="rId55" xr:uid="{93446E98-28AA-4596-A67A-9894F6682BB0}"/>
    <hyperlink ref="Z207" r:id="rId56" xr:uid="{ECF1D4EB-E376-4216-98F0-1A41B98D139B}"/>
    <hyperlink ref="Z220" r:id="rId57" xr:uid="{27B6C63E-5A8B-48EB-8284-8A151352D55F}"/>
    <hyperlink ref="Z218" r:id="rId58" xr:uid="{C2FD65E4-B299-4793-97FA-2966FF756BF3}"/>
    <hyperlink ref="Z224" r:id="rId59" xr:uid="{45988B83-64DD-43FD-8EBD-66CF8559304E}"/>
    <hyperlink ref="Z225" r:id="rId60" xr:uid="{A4A839C2-596F-42D4-A0CB-C5761CB7DD8B}"/>
    <hyperlink ref="Z226" r:id="rId61" xr:uid="{EB1417AA-E4AA-4E51-A980-FFA518B9E5B8}"/>
    <hyperlink ref="Z227" r:id="rId62" xr:uid="{AA79D95E-6F2B-4FA5-86E8-F2952635DC39}"/>
    <hyperlink ref="Z228" r:id="rId63" xr:uid="{B950DC16-E7EF-497C-9071-EA4F7F54AB8C}"/>
    <hyperlink ref="Z230" r:id="rId64" xr:uid="{904B708D-CB8A-4133-B089-BA78D4683504}"/>
    <hyperlink ref="Z238" r:id="rId65" xr:uid="{9E66483D-72A2-43C7-9C36-FE82525DBF89}"/>
    <hyperlink ref="Z236" r:id="rId66" xr:uid="{3B5F9C5A-4E49-4B15-B03D-654104F32FFE}"/>
    <hyperlink ref="Z234" r:id="rId67" xr:uid="{9145C2CD-2AE7-490A-8DA2-CE1A47019A04}"/>
    <hyperlink ref="Z233" r:id="rId68" xr:uid="{CD993EF8-DF14-4126-98FA-FD54302924A8}"/>
    <hyperlink ref="Z240" r:id="rId69" xr:uid="{C9011026-705E-4782-95E8-C373E9590AFF}"/>
    <hyperlink ref="Z242" r:id="rId70" display="mailto:adrian.doerig@schindler.com" xr:uid="{5CD1696F-AD9C-4DD0-90C4-3B873C227A91}"/>
    <hyperlink ref="Z239" r:id="rId71" display="mailto:ana.marco@schindler.com" xr:uid="{D28C709E-A7B1-40E9-8B85-2E8708125E7E}"/>
    <hyperlink ref="Z243" r:id="rId72" display="silvia.giangrande@schindler.com" xr:uid="{98213AC1-5EF6-4E3C-A13C-0636F8B833C7}"/>
    <hyperlink ref="Z249:Z251" r:id="rId73" display="esther.arrieta@schindler.com" xr:uid="{7AB58E7C-08B1-40E2-A3BA-9A12BA354C29}"/>
    <hyperlink ref="Z252:Z253" r:id="rId74" display="esther.arrieta@schindler.com" xr:uid="{60E2E538-C182-45B3-8B29-512651F1593C}"/>
    <hyperlink ref="Z244:Z245" r:id="rId75" display="esther.arrieta@schindler.com" xr:uid="{B10D75A0-11D0-489D-9E5B-4BBDA9F57116}"/>
    <hyperlink ref="Z247" r:id="rId76" xr:uid="{3C4D45FB-E7D1-46AF-BDDE-C524FEF2EEB4}"/>
    <hyperlink ref="Z248" r:id="rId77" xr:uid="{179AEF48-14A2-4A02-9854-CCDAC1BE3234}"/>
    <hyperlink ref="Z256" r:id="rId78" xr:uid="{7FC69F11-54AB-46B8-A093-5D284A295EFB}"/>
    <hyperlink ref="Z257" r:id="rId79" xr:uid="{421098E9-7B0C-45E4-AEBA-A4148764EC7C}"/>
    <hyperlink ref="Z264" r:id="rId80" xr:uid="{24AAF69F-E146-434C-A5B1-CFD6EC675139}"/>
    <hyperlink ref="Z266" r:id="rId81" xr:uid="{89DA4A3D-49C4-4F1A-B9F5-958BB5554123}"/>
    <hyperlink ref="Z267" r:id="rId82" xr:uid="{89AE72EE-EDBD-4E82-9F28-7FB122653114}"/>
    <hyperlink ref="Z270" r:id="rId83" xr:uid="{5680BE4D-CD4C-46C2-8821-2DBE6814F595}"/>
    <hyperlink ref="Z269" r:id="rId84" xr:uid="{350A4543-DC8A-4D58-9B9F-9EDB5917EC64}"/>
    <hyperlink ref="Z268" r:id="rId85" xr:uid="{9AAAD00C-ECFD-41E9-BD48-1AEC8686FC6A}"/>
    <hyperlink ref="Z271" r:id="rId86" xr:uid="{E697E48D-0725-42B6-B8E4-F4A0CE7BE280}"/>
    <hyperlink ref="Z272" r:id="rId87" xr:uid="{6164F3CD-F3F6-4043-8A87-25CAE021EB50}"/>
    <hyperlink ref="Z273" r:id="rId88" xr:uid="{26F73338-2B02-4207-9FD1-93B16CAEF6F7}"/>
    <hyperlink ref="Z282" r:id="rId89" display="mailto:alberto.brambilla@schindler.com" xr:uid="{24C714AD-F552-4D85-8410-C6953A91149F}"/>
    <hyperlink ref="Z246" r:id="rId90" xr:uid="{2DE9BE29-24D3-49E6-B9AC-EDA75493E996}"/>
    <hyperlink ref="Z292" r:id="rId91" xr:uid="{F6BFDCB6-8364-4235-92A6-A8D5E2745CB9}"/>
    <hyperlink ref="Z298" r:id="rId92" xr:uid="{C74D0488-C658-448A-A20B-F6F21819558D}"/>
    <hyperlink ref="Z289" r:id="rId93" xr:uid="{4075B54C-278B-447A-842B-B2827A36A317}"/>
    <hyperlink ref="Z294" r:id="rId94" xr:uid="{F1FB9754-D8DD-496B-A89C-BFF742230149}"/>
    <hyperlink ref="Z299" r:id="rId95" xr:uid="{F1F5EB6F-8E14-4BCC-891B-1E2B1FFC649A}"/>
    <hyperlink ref="Z275" r:id="rId96" xr:uid="{E5434506-5236-4FC8-8040-112BBD6B8CD5}"/>
    <hyperlink ref="Z300" r:id="rId97" xr:uid="{CBFB39CA-829D-4408-8F8A-A1719467CCE2}"/>
    <hyperlink ref="Z305" r:id="rId98" xr:uid="{9BE10E97-8F29-467E-9B59-FF141A504A0D}"/>
    <hyperlink ref="Z306" r:id="rId99" xr:uid="{2D3810E4-837A-4497-9DE0-F96576555C18}"/>
    <hyperlink ref="Z311" r:id="rId100" xr:uid="{A3519133-F639-4403-BFE8-4FABC6634929}"/>
    <hyperlink ref="Z312" r:id="rId101" display="mailto:boris.wolf@schindler.com" xr:uid="{7D07F224-9D35-4D13-9C95-0F3D6EFCDA83}"/>
    <hyperlink ref="Z315" r:id="rId102" xr:uid="{ECFE0221-35E4-49A1-8724-4815B7361DC6}"/>
    <hyperlink ref="Z313" r:id="rId103" xr:uid="{EB62564E-0BD4-4773-A00A-9E452DB32601}"/>
    <hyperlink ref="Z316:Z317" r:id="rId104" display="gad.grumberg@schindler.com" xr:uid="{7C67BE7F-4001-4A14-941E-EE413D0D42EB}"/>
    <hyperlink ref="Z317" r:id="rId105" xr:uid="{7199E9C3-20C9-4264-B741-2AA9DEE792EF}"/>
    <hyperlink ref="Z325" r:id="rId106" xr:uid="{A2D33243-530F-45DA-A1CF-7F0C49D953B2}"/>
    <hyperlink ref="Z324" r:id="rId107" xr:uid="{EEB5CD28-057B-4161-A489-AFCC53E2A701}"/>
    <hyperlink ref="Z328" r:id="rId108" xr:uid="{8C03A99F-4479-45E0-AEB6-897886EB97F3}"/>
    <hyperlink ref="Z327" r:id="rId109" xr:uid="{CBB83CFF-A17B-4D1C-99A0-A03BCB78640E}"/>
    <hyperlink ref="Z332" r:id="rId110" xr:uid="{C7F683BD-6C78-439C-B78B-114F591CBB8E}"/>
    <hyperlink ref="Z329:Z331" r:id="rId111" display="jesus.alvarez@schindler.com" xr:uid="{585AAF72-33E7-4179-9184-91DC97B24520}"/>
    <hyperlink ref="Z314" r:id="rId112" display="mailto:boris.wolf@schindler.com" xr:uid="{E9E70E16-9133-4C0E-BA16-6452F7B7B04E}"/>
    <hyperlink ref="Z333" r:id="rId113" display="mailto:boris.wolf@schindler.com" xr:uid="{E8BD8A4B-B810-4047-8E85-56478C8EBCBA}"/>
    <hyperlink ref="Z334" r:id="rId114" display="mailto:boris.wolf@schindler.com" xr:uid="{57D86352-0862-4DBF-9835-1D7F36E16EDB}"/>
    <hyperlink ref="Z338" r:id="rId115" xr:uid="{36D3B8F1-8C9E-41DC-A0EF-1ACAD7B3E8EC}"/>
    <hyperlink ref="Z340" r:id="rId116" xr:uid="{64CA8907-8BBB-4D55-B48E-30D6F03D16D7}"/>
    <hyperlink ref="Z339" r:id="rId117" xr:uid="{C2B3E373-23D3-44DE-8E04-490407EE145B}"/>
    <hyperlink ref="Z337" r:id="rId118" xr:uid="{3AE2132E-A651-4E5A-AA43-4E8AE2117B34}"/>
    <hyperlink ref="Z341" r:id="rId119" xr:uid="{11311472-B4AD-4F58-8B71-84F337B581C6}"/>
    <hyperlink ref="Z346" r:id="rId120" xr:uid="{5F0FE5A8-BB10-40F5-AF76-BC88AE8A221B}"/>
    <hyperlink ref="Z347" r:id="rId121" xr:uid="{85A9C5A2-D3E4-408E-A5E9-31212CD1B116}"/>
    <hyperlink ref="Z350" r:id="rId122" xr:uid="{1D25D989-F012-444F-81E1-F4A03EEFF62A}"/>
    <hyperlink ref="Z352" r:id="rId123" xr:uid="{3E1159DE-030F-484B-81B5-85AA165E544F}"/>
    <hyperlink ref="Z351" r:id="rId124" xr:uid="{72D59466-4494-4FA2-BA2E-B49799DFA67E}"/>
    <hyperlink ref="Z349" r:id="rId125" xr:uid="{C0D215F8-5B34-4ED1-9338-30060135DA80}"/>
    <hyperlink ref="Z354" r:id="rId126" xr:uid="{259E2203-6706-42FE-9DAB-64A1565D77AA}"/>
    <hyperlink ref="Z353" r:id="rId127" xr:uid="{EDD49F3C-8E17-4794-845D-B7C9A7A61FB4}"/>
    <hyperlink ref="Z348" r:id="rId128" xr:uid="{8DAEBAC9-7317-48BB-897C-A4B61AD5B807}"/>
    <hyperlink ref="Z356" r:id="rId129" xr:uid="{D178021B-D825-4429-BD88-DC036751F0E1}"/>
    <hyperlink ref="Z357" r:id="rId130" xr:uid="{0FAB9DE6-163E-480F-97AA-3176C5B9DA36}"/>
    <hyperlink ref="Z358" r:id="rId131" xr:uid="{A51F4752-B739-4426-AD73-C17A2CBBB6DB}"/>
    <hyperlink ref="Z359" r:id="rId132" xr:uid="{5EBFBDD5-396A-4B1C-9377-3EBA3E51B09F}"/>
    <hyperlink ref="Z363" r:id="rId133" xr:uid="{145492CB-2B4B-4870-A36B-18B37609C62B}"/>
    <hyperlink ref="Z364" r:id="rId134" xr:uid="{4BDE23CC-CB8A-47D0-A367-01533BC6EE6E}"/>
    <hyperlink ref="Z365" r:id="rId135" xr:uid="{80797F6F-8E41-4F38-BA56-1F5ABCDCFFE8}"/>
    <hyperlink ref="Z366" r:id="rId136" xr:uid="{196943E8-2AC8-4B31-9511-93BCE56D517D}"/>
    <hyperlink ref="Z368" r:id="rId137" display="mailto:esther.palacin@schindler.com" xr:uid="{AAC6CA15-73F8-4724-B5BC-2A6C9E861FF2}"/>
    <hyperlink ref="Z369" r:id="rId138" xr:uid="{928A4A41-2748-4C6B-8924-3A5A3E814859}"/>
    <hyperlink ref="Z371" r:id="rId139" xr:uid="{012F8715-4F1C-4B8B-8451-40A4A153B188}"/>
    <hyperlink ref="Z373" r:id="rId140" xr:uid="{772C1523-B7DF-4E2B-94FC-1C4FC854A248}"/>
    <hyperlink ref="Z372" r:id="rId141" xr:uid="{E22DE8CE-A738-413F-A565-C3AF9E0C457D}"/>
    <hyperlink ref="Z374" r:id="rId142" xr:uid="{076407D1-E888-486F-A4CC-F8BB0222E57D}"/>
    <hyperlink ref="Z375" r:id="rId143" xr:uid="{D01E2D91-5AA3-43F8-8F76-D1BF27033563}"/>
    <hyperlink ref="Z379" r:id="rId144" xr:uid="{58DABD8C-2078-4E38-9AC6-D2C174BAEF60}"/>
    <hyperlink ref="Z380" r:id="rId145" xr:uid="{4D56A405-7A02-4A15-8BED-85AB63F40AAF}"/>
    <hyperlink ref="Z382" r:id="rId146" xr:uid="{203C6B07-7A52-4B43-BB4C-7D04B2ED1C7E}"/>
    <hyperlink ref="Z376" r:id="rId147" xr:uid="{D58BA925-1B8B-4653-8F63-244FF320F9AE}"/>
    <hyperlink ref="Z383" r:id="rId148" display="mailto:adrian.doerig@schindler.com" xr:uid="{F75FBA30-8F3F-45DB-BD1F-D56242DBC13D}"/>
    <hyperlink ref="Z377:Z378" r:id="rId149" display="pascual.izaguerri@schindler.com" xr:uid="{9452E440-4BA3-4285-9067-B6EB6320F5B5}"/>
    <hyperlink ref="Z381" r:id="rId150" xr:uid="{4EFD2126-6F8C-47C2-96B9-7EBC52DFC739}"/>
    <hyperlink ref="Z360:Z362" r:id="rId151" display="saadeldin.fawzi@schindler.com" xr:uid="{2DFD1BCA-509F-492B-913C-6F04EDDEB00E}"/>
    <hyperlink ref="Z367" r:id="rId152" xr:uid="{05F42174-C867-46BC-BE31-3C61690818DC}"/>
    <hyperlink ref="Z384" r:id="rId153" xr:uid="{45FA4AFE-78A2-4910-BC98-E80EF81F10E5}"/>
    <hyperlink ref="Z387" r:id="rId154" xr:uid="{E287AD86-BEA7-4DF8-B92B-2D5FEE9DA91E}"/>
    <hyperlink ref="Z388" r:id="rId155" display="mailto:joerg.waidner@schindler.com" xr:uid="{E635D0C1-FE39-4BD0-A753-8A688A4BE559}"/>
    <hyperlink ref="Z377" r:id="rId156" xr:uid="{698C959E-137D-49E1-A87D-3A20FC12A1BB}"/>
    <hyperlink ref="Z391" r:id="rId157" xr:uid="{46CFCDA9-11C7-480E-A3CF-FEB6918A2164}"/>
    <hyperlink ref="Z378" r:id="rId158" xr:uid="{C5705625-B6FE-4B7F-B79A-6ABAF83BB6F8}"/>
    <hyperlink ref="Z385" r:id="rId159" xr:uid="{7D6D175A-5D42-4696-8FA7-C0CD76DA9EC5}"/>
    <hyperlink ref="Z386" r:id="rId160" xr:uid="{CA27E8B3-8297-442D-A6F0-E27CFD9141FD}"/>
    <hyperlink ref="Z93" r:id="rId161" xr:uid="{9F7BC6F8-30B2-4262-8D15-A119EA0326E5}"/>
    <hyperlink ref="Z406" r:id="rId162" xr:uid="{070B0B00-8F64-468C-9800-D20B0EEDFA29}"/>
    <hyperlink ref="Z405" r:id="rId163" xr:uid="{1F353F27-9658-4539-8042-BCFA92FEA45E}"/>
    <hyperlink ref="Z399" r:id="rId164" xr:uid="{63D41A3B-5739-46DB-9499-9EE573F46CBD}"/>
    <hyperlink ref="Z402" r:id="rId165" xr:uid="{2872F968-5EA2-42E6-A7C4-D8F5BB50CCF8}"/>
    <hyperlink ref="Z397" r:id="rId166" xr:uid="{4ED89F40-8E80-4081-AAD6-198E7A6A5574}"/>
    <hyperlink ref="Z396" r:id="rId167" xr:uid="{AED42D31-158B-47BC-B7A6-709BDFF5118F}"/>
    <hyperlink ref="Z395" r:id="rId168" xr:uid="{578045F2-C115-4FE3-BBAB-8AED19456AAA}"/>
    <hyperlink ref="Z408" r:id="rId169" xr:uid="{637938F7-9812-4CB7-904D-8DE6F4ECED14}"/>
    <hyperlink ref="Z411" r:id="rId170" xr:uid="{30F3D0C4-091C-409D-BD65-F7729C62B475}"/>
    <hyperlink ref="Z416" r:id="rId171" xr:uid="{5F69E0B1-B6F6-467F-974B-186182486020}"/>
    <hyperlink ref="Z398" r:id="rId172" xr:uid="{A9BBDE28-F988-4570-AD18-1F7F81507A75}"/>
    <hyperlink ref="Z404" r:id="rId173" xr:uid="{0AC04D54-5CA4-47B6-8A64-5282BBA12D71}"/>
    <hyperlink ref="Z423" r:id="rId174" xr:uid="{C28874F9-6E7E-4498-9294-4321278035DF}"/>
    <hyperlink ref="Z424" r:id="rId175" xr:uid="{6FDBDC66-F0D3-4E77-99DF-9CB98E723D52}"/>
    <hyperlink ref="Z427" r:id="rId176" xr:uid="{A761F939-7F1E-4FE1-A2C6-B3ECB2C13865}"/>
    <hyperlink ref="Z428" r:id="rId177" xr:uid="{5FBB611E-3820-42EF-B8D7-2976F96F9C7C}"/>
    <hyperlink ref="Z429" r:id="rId178" xr:uid="{0CA287E4-DFCC-4570-A9AE-D98375256E58}"/>
    <hyperlink ref="Z430" r:id="rId179" xr:uid="{0C99A9D1-B5BB-42C1-A53F-F55183E7F97C}"/>
    <hyperlink ref="Z431" r:id="rId180" xr:uid="{BF5B17E2-2861-45D1-93E3-FF530B8449C8}"/>
    <hyperlink ref="Z432" r:id="rId181" xr:uid="{F3DF8A04-169B-4DB0-98D5-E4C3B85951CC}"/>
    <hyperlink ref="Z433" r:id="rId182" xr:uid="{EFE1D559-ADE0-4CCC-80F5-B70B02FD227B}"/>
    <hyperlink ref="Z435" r:id="rId183" xr:uid="{0AC5AF1A-746C-4C7D-A978-6087B5E4FAF5}"/>
    <hyperlink ref="Z436" r:id="rId184" xr:uid="{5369BC07-1BEB-4A74-A2C1-B20B2ACBB546}"/>
    <hyperlink ref="Z437" r:id="rId185" xr:uid="{93A41DD4-7F00-4915-BFB3-84A794560877}"/>
    <hyperlink ref="Z441" r:id="rId186" xr:uid="{2EC13DB6-ACA8-4DD3-B7AB-A6914424C46B}"/>
    <hyperlink ref="Z451" r:id="rId187" xr:uid="{56988B9E-DDCE-427A-AD50-D1A83FC1C363}"/>
    <hyperlink ref="Z450" r:id="rId188" xr:uid="{6CDBB874-3973-4C00-9C6A-60FFDAB6EA9D}"/>
    <hyperlink ref="Z448" r:id="rId189" xr:uid="{33A50777-6064-43ED-AFC5-86A97D05EF97}"/>
    <hyperlink ref="Z440" r:id="rId190" xr:uid="{A0F6C563-E4EF-4F68-8BD9-B18C29F1389F}"/>
    <hyperlink ref="Z445" r:id="rId191" xr:uid="{F215D6D6-D0A0-48BE-B478-08EF8DAAEA57}"/>
    <hyperlink ref="Z447" r:id="rId192" xr:uid="{DB350355-040D-4938-9036-871E633AA235}"/>
    <hyperlink ref="Z443" r:id="rId193" xr:uid="{5B3CAD13-93CE-4045-9384-C88951B7BE3D}"/>
    <hyperlink ref="Z449" r:id="rId194" xr:uid="{ED72F375-3DD1-41D5-9702-C06AD4ECB3E0}"/>
    <hyperlink ref="Z438" r:id="rId195" xr:uid="{BE8E620B-31D9-4263-90BB-DA7D2171C029}"/>
    <hyperlink ref="Z454" r:id="rId196" xr:uid="{8108BF86-FBFC-4769-96A7-B88C86F6D12C}"/>
    <hyperlink ref="Z452" r:id="rId197" xr:uid="{A8968CF0-5E0C-4BAE-9F28-0610D6DB3476}"/>
    <hyperlink ref="Z439" r:id="rId198" xr:uid="{DD0BEB84-EC15-4896-A4BD-068121ECE40B}"/>
    <hyperlink ref="Z455" r:id="rId199" xr:uid="{A5DA9E3C-8B77-497C-8B0C-9B483ED877D1}"/>
    <hyperlink ref="Z446" r:id="rId200" xr:uid="{1AAC8B36-421E-45B6-BC0E-5243174F14BA}"/>
    <hyperlink ref="Z457" r:id="rId201" xr:uid="{23F7D2DF-1DCC-442D-8118-B14150CF9120}"/>
    <hyperlink ref="Z459:Z462" r:id="rId202" display="esther.arrieta@schindler.com" xr:uid="{C933DAFF-B47A-4CC3-8521-D41C6DB450B1}"/>
    <hyperlink ref="Z458" r:id="rId203" xr:uid="{6D68E92D-CE5F-4F0C-9722-5DA4C1C008AF}"/>
    <hyperlink ref="Z465:Z466" r:id="rId204" display="messaoud.nouri@schindler.com" xr:uid="{33DB7DF4-0D96-422D-A77F-683BB9CD1BC4}"/>
    <hyperlink ref="Z464" r:id="rId205" xr:uid="{7EECE903-5329-49DB-9A3A-356609BC4945}"/>
    <hyperlink ref="Z467" r:id="rId206" xr:uid="{75111291-8614-4207-A4D0-EAC38F18E9A2}"/>
    <hyperlink ref="Z456" r:id="rId207" xr:uid="{A2EE02E5-E24B-450B-82A2-32FB693E179B}"/>
    <hyperlink ref="Z471" r:id="rId208" xr:uid="{90649AB3-1296-4F89-B3C6-8BEFAADB4A6C}"/>
    <hyperlink ref="Z453" r:id="rId209" xr:uid="{98B21978-9C63-45B6-8DB3-07632947F080}"/>
    <hyperlink ref="A485" r:id="rId210" display="mailto:anthony.desmaele@schindler.com" xr:uid="{A824D361-8796-4524-9206-104FCABF3458}"/>
    <hyperlink ref="Z485" r:id="rId211" display="mailto:anthony.desmaele@schindler.com" xr:uid="{DDDB218B-917A-4D81-99B6-FDC06E320120}"/>
    <hyperlink ref="AA485" r:id="rId212" display="mailto:johan.nevelsteen@schindler.com" xr:uid="{0ADDCB98-AB4E-45A8-88FB-6B3736D825F6}"/>
    <hyperlink ref="Z460" r:id="rId213" xr:uid="{3DB1891F-BA39-4377-9546-6E9E2ED8C25C}"/>
  </hyperlinks>
  <pageMargins left="0.7" right="0.7" top="0.78740157499999996" bottom="0.78740157499999996" header="0.3" footer="0.3"/>
  <pageSetup paperSize="9" orientation="portrait" r:id="rId214"/>
  <legacyDrawing r:id="rId2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B76B-B546-4646-AFB2-3D94DAD1D26A}">
  <sheetPr codeName="List2"/>
  <dimension ref="A3:D24"/>
  <sheetViews>
    <sheetView workbookViewId="0">
      <selection activeCell="D23" sqref="D23"/>
    </sheetView>
  </sheetViews>
  <sheetFormatPr baseColWidth="10" defaultColWidth="8.88671875" defaultRowHeight="14.4"/>
  <cols>
    <col min="1" max="1" width="25.44140625" customWidth="1"/>
    <col min="2" max="2" width="15.6640625" customWidth="1"/>
    <col min="3" max="3" width="11.44140625" customWidth="1"/>
    <col min="4" max="4" width="17.44140625" customWidth="1"/>
  </cols>
  <sheetData>
    <row r="3" spans="1:4">
      <c r="A3" s="13" t="s">
        <v>378</v>
      </c>
    </row>
    <row r="4" spans="1:4">
      <c r="A4" s="13"/>
    </row>
    <row r="5" spans="1:4">
      <c r="A5" s="13" t="s">
        <v>379</v>
      </c>
    </row>
    <row r="6" spans="1:4">
      <c r="A6" s="13"/>
    </row>
    <row r="7" spans="1:4">
      <c r="A7" s="13"/>
    </row>
    <row r="8" spans="1:4">
      <c r="A8" s="13" t="s">
        <v>380</v>
      </c>
    </row>
    <row r="9" spans="1:4">
      <c r="A9" s="13"/>
    </row>
    <row r="10" spans="1:4">
      <c r="A10" s="13"/>
    </row>
    <row r="11" spans="1:4">
      <c r="A11" s="27" t="s">
        <v>381</v>
      </c>
      <c r="B11" s="27" t="s">
        <v>382</v>
      </c>
      <c r="C11" s="29" t="s">
        <v>383</v>
      </c>
      <c r="D11" s="28" t="s">
        <v>384</v>
      </c>
    </row>
    <row r="12" spans="1:4">
      <c r="A12" s="27" t="s">
        <v>385</v>
      </c>
      <c r="B12" s="27" t="s">
        <v>645</v>
      </c>
      <c r="C12" s="29">
        <v>50</v>
      </c>
      <c r="D12" s="28" t="s">
        <v>386</v>
      </c>
    </row>
    <row r="13" spans="1:4" ht="35.25" customHeight="1">
      <c r="A13" s="27" t="s">
        <v>387</v>
      </c>
      <c r="B13" s="27"/>
      <c r="C13" s="29">
        <v>1</v>
      </c>
      <c r="D13" s="28" t="s">
        <v>388</v>
      </c>
    </row>
    <row r="14" spans="1:4">
      <c r="A14" s="27" t="s">
        <v>389</v>
      </c>
      <c r="B14" s="27" t="s">
        <v>390</v>
      </c>
      <c r="C14" s="29" t="s">
        <v>391</v>
      </c>
      <c r="D14" s="28" t="s">
        <v>392</v>
      </c>
    </row>
    <row r="15" spans="1:4" ht="15">
      <c r="A15" s="14"/>
    </row>
    <row r="16" spans="1:4" ht="15.6">
      <c r="A16" s="15"/>
    </row>
    <row r="17" spans="1:2" ht="15.6">
      <c r="A17" s="15" t="s">
        <v>393</v>
      </c>
    </row>
    <row r="18" spans="1:2" ht="15.6">
      <c r="A18" s="15" t="s">
        <v>394</v>
      </c>
    </row>
    <row r="19" spans="1:2" ht="15.6">
      <c r="A19" s="15"/>
    </row>
    <row r="20" spans="1:2" ht="15.6">
      <c r="A20" s="15"/>
    </row>
    <row r="21" spans="1:2">
      <c r="A21" s="13" t="s">
        <v>395</v>
      </c>
      <c r="B21" s="13"/>
    </row>
    <row r="22" spans="1:2">
      <c r="A22" s="13" t="s">
        <v>396</v>
      </c>
      <c r="B22" s="13"/>
    </row>
    <row r="23" spans="1:2">
      <c r="A23" s="13"/>
    </row>
    <row r="24" spans="1:2">
      <c r="A24" s="13" t="s">
        <v>397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951B-DC89-46A7-9C8C-19C93F0DC165}">
  <sheetPr codeName="List3"/>
  <dimension ref="A1"/>
  <sheetViews>
    <sheetView workbookViewId="0">
      <selection activeCell="G34" sqref="G34"/>
    </sheetView>
  </sheetViews>
  <sheetFormatPr baseColWidth="10" defaultColWidth="8.88671875" defaultRowHeight="14.4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094-2627-41BC-AA94-4D2D653784F8}">
  <sheetPr codeName="List4"/>
  <dimension ref="A1"/>
  <sheetViews>
    <sheetView workbookViewId="0"/>
  </sheetViews>
  <sheetFormatPr baseColWidth="10" defaultColWidth="8.88671875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offers Schindler</vt:lpstr>
      <vt:lpstr>template</vt:lpstr>
      <vt:lpstr>Metro Santiago Bernabéu</vt:lpstr>
      <vt:lpstr>Metro Ventas Project - Madrid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Havlikova</dc:creator>
  <cp:lastModifiedBy>José Manuel De Barutell García-Argüelles</cp:lastModifiedBy>
  <dcterms:created xsi:type="dcterms:W3CDTF">2024-11-08T11:55:07Z</dcterms:created>
  <dcterms:modified xsi:type="dcterms:W3CDTF">2026-04-29T10:09:48Z</dcterms:modified>
</cp:coreProperties>
</file>